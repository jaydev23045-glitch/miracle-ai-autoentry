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Health Ripples/April to Oct 2025 data/Bank stmt/"/>
    </mc:Choice>
  </mc:AlternateContent>
  <xr:revisionPtr revIDLastSave="73" documentId="11_F25DC773A252ABDACC104855495E516A5ADE58E1" xr6:coauthVersionLast="47" xr6:coauthVersionMax="47" xr10:uidLastSave="{1B4DCB5E-D9CB-4CF0-A14B-6DEB6F21C8A7}"/>
  <bookViews>
    <workbookView xWindow="-120" yWindow="-120" windowWidth="24240" windowHeight="130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0" i="2" l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L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</calcChain>
</file>

<file path=xl/sharedStrings.xml><?xml version="1.0" encoding="utf-8"?>
<sst xmlns="http://schemas.openxmlformats.org/spreadsheetml/2006/main" count="3072" uniqueCount="927">
  <si>
    <t>Date</t>
  </si>
  <si>
    <t>Description</t>
  </si>
  <si>
    <t>Chq/Ref. No.</t>
  </si>
  <si>
    <t>Withdrawal (Dr.)</t>
  </si>
  <si>
    <t>Deposit (Cr.)</t>
  </si>
  <si>
    <t>Balance</t>
  </si>
  <si>
    <t>-</t>
  </si>
  <si>
    <t>Opening Balance</t>
  </si>
  <si>
    <t>Recd:IMPS/509110472243/PHONEPEPRI/KKBK /X8715/F09Mh</t>
  </si>
  <si>
    <t>IMPS-509110661263</t>
  </si>
  <si>
    <t>MB:PT 23 24</t>
  </si>
  <si>
    <t>NEFT AXNPN09299789666 PHONEPE PRIVATE LIMITED PAY</t>
  </si>
  <si>
    <t>NEFTINW-1170753174</t>
  </si>
  <si>
    <t>MB:SENT NEFT SSR FOOTCARE 1767135000005003 KARU</t>
  </si>
  <si>
    <t>MB:PT 24 25</t>
  </si>
  <si>
    <t>NEFT AXNPN09306877371 PHONEPE PRIVATE LIMITED PAY</t>
  </si>
  <si>
    <t>NEFTINW-1171816401</t>
  </si>
  <si>
    <t>NEFT AXNPN09414665272 PHONEPE PRIVATE LIMITED PAY</t>
  </si>
  <si>
    <t>NEFTINW-1172875841</t>
  </si>
  <si>
    <t>NEFT AXNPN09523392205 PHONEPE PRIVATE LIMITED PAY</t>
  </si>
  <si>
    <t>NEFTINW-1173983887</t>
  </si>
  <si>
    <t>NEFT AXNPN09632211051 PHONEPE PRIVATE LIMITED PAY</t>
  </si>
  <si>
    <t>NEFTINW-1175381571</t>
  </si>
  <si>
    <t>Cash Deposit at/BMUBH033/tropicaleliteNaupadaThane</t>
  </si>
  <si>
    <t>MB:office rent</t>
  </si>
  <si>
    <t>NEFT AXNPN09848971618 PHONEPE PRIVATE LIMITED PAY</t>
  </si>
  <si>
    <t>NEFTINW-1177293318</t>
  </si>
  <si>
    <t>MB:salary</t>
  </si>
  <si>
    <t>NEFT AXNPN09958546755 PHONEPE PRIVATE LIMITED PAY</t>
  </si>
  <si>
    <t>NEFTINW-1178485923</t>
  </si>
  <si>
    <t>NEFT AXNPN10067419191 PHONEPE PRIVATE LIMITED PAY</t>
  </si>
  <si>
    <t>NEFTINW-1179535219</t>
  </si>
  <si>
    <t>Recd:IMPS/510015430365/GIRISH S M/KKBK/X2006/Advfo</t>
  </si>
  <si>
    <t>IMPS-510015224011</t>
  </si>
  <si>
    <t>NEFT AXNPN10176532777 PHONEPE PRIVATE LIMITED PAY</t>
  </si>
  <si>
    <t>NEFTINW-1180417543</t>
  </si>
  <si>
    <t>NEFT AXNPN10286252527 PHONEPE PRIVATE LIMITED PAY</t>
  </si>
  <si>
    <t>NEFTINW-1181552239</t>
  </si>
  <si>
    <t>MB:734</t>
  </si>
  <si>
    <t>NEFT AXNPN10395015203 PHONEPE PRIVATE LIMITED PAY</t>
  </si>
  <si>
    <t>NEFTINW-1182292528</t>
  </si>
  <si>
    <t>NEFT AXNPN10511696994 PHONEPE PRIVATE LIMITED PAY</t>
  </si>
  <si>
    <t>NEFTINW-1183740496</t>
  </si>
  <si>
    <t>CASH DEPOSIT BY CHANDRAKANT AT NAUPADA</t>
  </si>
  <si>
    <t>MB:registration expenses</t>
  </si>
  <si>
    <t>NEFT AXNPN10621876989 PHONEPE PRIVATE LIMITED PAY</t>
  </si>
  <si>
    <t>NEFTINW-1184819178</t>
  </si>
  <si>
    <t>NEFT AXNPN10730812665 PHONEPE PRIVATE LIMITED PAY</t>
  </si>
  <si>
    <t>NEFTINW-1185876519</t>
  </si>
  <si>
    <t>UPI/PARTE CHANDRAKA/103310545172/balance cash</t>
  </si>
  <si>
    <t>UPI-510725245967</t>
  </si>
  <si>
    <t>UPI/PARTE CHANDRAKA/103319904889/yashaswini Bhag</t>
  </si>
  <si>
    <t>UPI-510735653851</t>
  </si>
  <si>
    <t>NEFT AXISP00652657066 LABINDIA INSTRUMENTS PVT LT</t>
  </si>
  <si>
    <t>NEFTINW-1186606299</t>
  </si>
  <si>
    <t>UPI/TAUSIF SIRAJ SH/510719548399/NA</t>
  </si>
  <si>
    <t>UPI-510755095517</t>
  </si>
  <si>
    <t>MB:sumit payment</t>
  </si>
  <si>
    <t>NEFT AXNPN10839401484 PHONEPE PRIVATE LIMITED PAY</t>
  </si>
  <si>
    <t>NEFTINW-1186879762</t>
  </si>
  <si>
    <t>Recd:IMPS/510814007410/GIRISH S M/KKBK/X2006/Balfo</t>
  </si>
  <si>
    <t>IMPS-510814614202</t>
  </si>
  <si>
    <t>MB:workindia</t>
  </si>
  <si>
    <t>MB:office furniture</t>
  </si>
  <si>
    <t>MB:SENT NEFT SONAM ICICI 003501567973 ICICI BAN</t>
  </si>
  <si>
    <t>NEFT AXNPN10947820338 PHONEPE PRIVATE LIMITED PAY</t>
  </si>
  <si>
    <t>NEFTINW-1187651963</t>
  </si>
  <si>
    <t>MB:DA</t>
  </si>
  <si>
    <t>NEFT AXNPN11056530149 PHONEPE PRIVATE LIMITED PAY</t>
  </si>
  <si>
    <t>NEFTINW-1188531113</t>
  </si>
  <si>
    <t>NEFT AXNPN11273084811 PHONEPE PRIVATE LIMITED PAY</t>
  </si>
  <si>
    <t>NEFTINW-1190182064</t>
  </si>
  <si>
    <t>NEFT AXNPN11380571891 PHONEPE PRIVATE LIMITED PAY</t>
  </si>
  <si>
    <t>NEFTINW-1191192490</t>
  </si>
  <si>
    <t>MB:737</t>
  </si>
  <si>
    <t>UPI/PARTE CHANDRAKA/103634295432/balance payment</t>
  </si>
  <si>
    <t>UPI-511390966169</t>
  </si>
  <si>
    <t>MB:health ripples Gst</t>
  </si>
  <si>
    <t>NEFT AXNPN11488483137 PHONEPE PRIVATE LIMITED PAY</t>
  </si>
  <si>
    <t>NEFTINW-1192164661</t>
  </si>
  <si>
    <t>Recd:IMPS/511412737026/ARPIT AGAR/KKBK/X8001/IMPS</t>
  </si>
  <si>
    <t>IMPS-511412133078</t>
  </si>
  <si>
    <t>Recd:IMPS/511412744722/ARPIT AGAR/KKBK/X8001/Loan</t>
  </si>
  <si>
    <t>IMPS-511412137726</t>
  </si>
  <si>
    <t>MB:SENT NEFT FIRSTCAREPHARMACY 99954000011111 H</t>
  </si>
  <si>
    <t>NEFT AXNPN11596737952 PHONEPE PRIVATE LIMITED PAY</t>
  </si>
  <si>
    <t>NEFTINW-1193125513</t>
  </si>
  <si>
    <t>NEFT AXNPN11604583639 PHONEPE PRIVATE LIMITED PAY</t>
  </si>
  <si>
    <t>NEFTINW-1194121549</t>
  </si>
  <si>
    <t>NEFT AXNPN11712260178 PHONEPE PRIVATE LIMITED PAY</t>
  </si>
  <si>
    <t>NEFTINW-1194813601</t>
  </si>
  <si>
    <t>NEFT AXNPN11927453082 PHONEPE PRIVATE LIMITED PAY</t>
  </si>
  <si>
    <t>NEFTINW-1196561726</t>
  </si>
  <si>
    <t>NEFT AXNPN12034941909 PHONEPE PRIVATE LIMITED PAY</t>
  </si>
  <si>
    <t>NEFTINW-1197621693</t>
  </si>
  <si>
    <t>NEFT AXNPN12142433641 PHONEPE PRIVATE LIMITED PAY</t>
  </si>
  <si>
    <t>NEFTINW-1198950087</t>
  </si>
  <si>
    <t>NEFT AXNPN12357089901 PHONEPE PRIVATE LIMITED PAY</t>
  </si>
  <si>
    <t>NEFTINW-1200912378</t>
  </si>
  <si>
    <t>NEFT AXNPN12464588062 PHONEPE PRIVATE LIMITED PAY</t>
  </si>
  <si>
    <t>NEFTINW-1201874036</t>
  </si>
  <si>
    <t>UPI/PARTE CHANDRAKA/104320277303/Balance amount</t>
  </si>
  <si>
    <t>UPI-512568507902</t>
  </si>
  <si>
    <t>NEFT AXNPN12679084089 PHONEPE PRIVATE LIMITED PAY</t>
  </si>
  <si>
    <t>NEFTINW-1203691284</t>
  </si>
  <si>
    <t>NEFT AXNPN12786597181 PHONEPE PRIVATE LIMITED PAY</t>
  </si>
  <si>
    <t>NEFTINW-1204773951</t>
  </si>
  <si>
    <t>NEFT AXNPN12894184045 PHONEPE PRIVATE LIMITED PAY</t>
  </si>
  <si>
    <t>NEFTINW-1206052948</t>
  </si>
  <si>
    <t>NEFT AXNPN12900226884 PHONEPE PRIVATE LIMITED PAY</t>
  </si>
  <si>
    <t>NEFTINW-1207075655</t>
  </si>
  <si>
    <t>NEFT AXNPN13008574898 PHONEPE PRIVATE LIMITED PAY</t>
  </si>
  <si>
    <t>NEFTINW-1208285087</t>
  </si>
  <si>
    <t>NEFT AXNPN13116864305 PHONEPE PRIVATE LIMITED PAY</t>
  </si>
  <si>
    <t>NEFTINW-1208998201</t>
  </si>
  <si>
    <t>NEFT AXNPN13330797377 PHONEPE PRIVATE LIMITED PAY</t>
  </si>
  <si>
    <t>NEFTINW-1210609224</t>
  </si>
  <si>
    <t>NEFT AXNPN13438311684 PHONEPE PRIVATE LIMITED PAY</t>
  </si>
  <si>
    <t>NEFTINW-1211698780</t>
  </si>
  <si>
    <t>MB:051</t>
  </si>
  <si>
    <t>NEFT AXNPN13545511626 PHONEPE PRIVATE LIMITED PAY</t>
  </si>
  <si>
    <t>NEFTINW-1212758507</t>
  </si>
  <si>
    <t>UPI/PARTE CHANDRAKA/104844473673/cash payment</t>
  </si>
  <si>
    <t>UPI-513566948086</t>
  </si>
  <si>
    <t>NEFT AXNPN13653229815 PHONEPE PRIVATE LIMITED PAY</t>
  </si>
  <si>
    <t>NEFTINW-1213780378</t>
  </si>
  <si>
    <t>NEFT AXNPN1376046433 PHONEPE PRIVATE LIMITED PAY</t>
  </si>
  <si>
    <t>NEFTINW-1214746187</t>
  </si>
  <si>
    <t>UPI/MANISHA ASHOK S/104955815596/UPI</t>
  </si>
  <si>
    <t>UPI-513795853816</t>
  </si>
  <si>
    <t>NEFT AXNPN13868431658 PHONEPE PRIVATE LIMITED PAY</t>
  </si>
  <si>
    <t>NEFTINW-1215633975</t>
  </si>
  <si>
    <t>Recd:IMPS/513809385746/RIA FINANC/KKBK/X0582/for v</t>
  </si>
  <si>
    <t>IMPS-513809940049</t>
  </si>
  <si>
    <t>Recd:IMPS/513810392722/CRYSTAL VA/KKBK/X0582/RDA-T</t>
  </si>
  <si>
    <t>IMPS-513810983464</t>
  </si>
  <si>
    <t>MB:SENT NEFT CHANDRAKANT PARTE 104603130002310</t>
  </si>
  <si>
    <t>MB:SENT NEFT ANANAD SHARMA 76030100013703 BANK</t>
  </si>
  <si>
    <t>SentIMPS513920621808Sonam icic/ICICX7973/KKBKTrans</t>
  </si>
  <si>
    <t>IMPS-513920733084</t>
  </si>
  <si>
    <t>NEFT AXNPN14083093956 PHONEPE PRIVATE LIMITED PAY</t>
  </si>
  <si>
    <t>NEFTINW-1217373066</t>
  </si>
  <si>
    <t>NEFT AXNPN14190734214 PHONEPE PRIVATE LIMITED PAY</t>
  </si>
  <si>
    <t>NEFTINW-1218246538</t>
  </si>
  <si>
    <t>MB:SENT TO JYJ AND CO/PE PULSE</t>
  </si>
  <si>
    <t>MB-998478237861</t>
  </si>
  <si>
    <t>NEFT AXNPN14305240764 PHONEPE PRIVATE LIMITED PAY</t>
  </si>
  <si>
    <t>NEFTINW-1220183233</t>
  </si>
  <si>
    <t>NEFT CBINH25143299771 B Y L NAIR CHARITABLE HOSPI</t>
  </si>
  <si>
    <t>NEFTINW-1220805555</t>
  </si>
  <si>
    <t>MB:SENT NEFT SONAM 029203589775190001 CSB BANK</t>
  </si>
  <si>
    <t>Recd:IMPS/514320635062/CRYSTAL VA/KKBK/X0582/RDA-T</t>
  </si>
  <si>
    <t>IMPS-514320525693</t>
  </si>
  <si>
    <t>NEFT AXNPN14412763262 PHONEPE PRIVATE LIMITED PAY</t>
  </si>
  <si>
    <t>NEFTINW-1221143151</t>
  </si>
  <si>
    <t>MB:0088</t>
  </si>
  <si>
    <t>NEFT ICIN114579838779 VIVEK VASANT HARLE ICICOSF0</t>
  </si>
  <si>
    <t>NEFTINW-1222331825</t>
  </si>
  <si>
    <t>MB:gst</t>
  </si>
  <si>
    <t>NEFT AXNPN14842441092 PHONEPE PRIVATE LIMITED PAY</t>
  </si>
  <si>
    <t>NEFTINW-1224509790</t>
  </si>
  <si>
    <t>NEFT ICIN214801035615 LABINDIA INSTRUMENTS PVT LT</t>
  </si>
  <si>
    <t>NEFTINW-1225017139</t>
  </si>
  <si>
    <t>UPI/KRUNAL HASMUKH /514816717595/NA</t>
  </si>
  <si>
    <t>UPI-514866069341</t>
  </si>
  <si>
    <t>NEFT AXNPN14949461594 PHONEPE PRIVATE LIMITED PAY</t>
  </si>
  <si>
    <t>NEFTINW-1225527620</t>
  </si>
  <si>
    <t>UPI/BARVE ANAND PRU/105563091629/Test money</t>
  </si>
  <si>
    <t>UPI-514904749901</t>
  </si>
  <si>
    <t>UPI/BARVE ANAND PRU/105569130001/UPI</t>
  </si>
  <si>
    <t>UPI-514911288034</t>
  </si>
  <si>
    <t>NEFT AXNPN15056316605 PHONEPE PRIVATE LIMITED PAY</t>
  </si>
  <si>
    <t>NEFTINW-1226509237</t>
  </si>
  <si>
    <t>NEFT AXNPN15163339117 PHONEPE PRIVATE LIMITED PAY</t>
  </si>
  <si>
    <t>NEFTINW-1227677711</t>
  </si>
  <si>
    <t>Chrg: IMPS Transaction Dated On 19-May-2025</t>
  </si>
  <si>
    <t>TBMS-1701475350</t>
  </si>
  <si>
    <t>NEFT AXNPN15270548979 PHONEPE PRIVATE LIMITED PAY</t>
  </si>
  <si>
    <t>NEFTINW-1228714012</t>
  </si>
  <si>
    <t>NEFT AXNPN15484581974 PHONEPE PRIVATE LIMITED PAY</t>
  </si>
  <si>
    <t>NEFTINW-1230566758</t>
  </si>
  <si>
    <t>MB:SENT NEFT ANVI ENTERPRISES 50200051451484 HD</t>
  </si>
  <si>
    <t>NEFT AXNPN15591767081 PHONEPE PRIVATE LIMITED PAY</t>
  </si>
  <si>
    <t>NEFTINW-1231583351</t>
  </si>
  <si>
    <t>NEFT AXNPN15699071310 PHONEPE PRIVATE LIMITED PAY</t>
  </si>
  <si>
    <t>NEFTINW-1232675736</t>
  </si>
  <si>
    <t>NEFT AXNPN15706740134 PHONEPE PRIVATE LIMITED PAY</t>
  </si>
  <si>
    <t>NEFTINW-1233760028</t>
  </si>
  <si>
    <t>NEFT AXNPN15814508659 PHONEPE PRIVATE LIMITED PAY</t>
  </si>
  <si>
    <t>NEFTINW-1235013446</t>
  </si>
  <si>
    <t>NEFT AXNPN15920258753 PHONEPE PRIVATE LIMITED PAY</t>
  </si>
  <si>
    <t>NEFTINW-1236023716</t>
  </si>
  <si>
    <t>NEFT CSBKH16011322890 SONAM AMJAD SHAIKH CSBK0000</t>
  </si>
  <si>
    <t>NEFTINW-1236869268</t>
  </si>
  <si>
    <t>MB:may salary</t>
  </si>
  <si>
    <t>NEFT CSBKH16010523530 SONAM AMJAD SHAIKH CSBK0000</t>
  </si>
  <si>
    <t>NEFTINW-1237128942</t>
  </si>
  <si>
    <t>NEFT AXNPN16134609088 PHONEPE PRIVATE LIMITED PAY</t>
  </si>
  <si>
    <t>NEFTINW-1237733172</t>
  </si>
  <si>
    <t>NEFT AXNPN16242464820 PHONEPE PRIVATE LIMITED PAY</t>
  </si>
  <si>
    <t>NEFTINW-1238857928</t>
  </si>
  <si>
    <t>NEFT AXNPN16349737139 PHONEPE PRIVATE LIMITED PAY</t>
  </si>
  <si>
    <t>NEFTINW-1239934216</t>
  </si>
  <si>
    <t>MB:0150</t>
  </si>
  <si>
    <t>UPI/PARTE CHANDRAKA/106349433194/Balance cash</t>
  </si>
  <si>
    <t>UPI-516325057497</t>
  </si>
  <si>
    <t>NEFT AXNPN16456871985 PHONEPE PRIVATE LIMITED PAY</t>
  </si>
  <si>
    <t>NEFTINW-1240881692</t>
  </si>
  <si>
    <t>Recd:IMPS/516413825624/VIVEK VASA/KKBK/X7698/First</t>
  </si>
  <si>
    <t>IMPS-516413560026</t>
  </si>
  <si>
    <t>NEFT AXNPN16563795055 PHONEPE PRIVATE LIMITED PAY</t>
  </si>
  <si>
    <t>NEFTINW-1241957048</t>
  </si>
  <si>
    <t>NEFT AXNPN16671528347 PHONEPE PRIVATE LIMITED PAY</t>
  </si>
  <si>
    <t>NEFTINW-1242595977</t>
  </si>
  <si>
    <t>NEFT NRE REM FATEMA DALAL INDBH16068595384 INDB00</t>
  </si>
  <si>
    <t>NEFTINW-1244098851</t>
  </si>
  <si>
    <t>NEFT AXNPN16884522736 PHONEPE PRIVATE LIMITED PAY</t>
  </si>
  <si>
    <t>NEFTINW-1244313300</t>
  </si>
  <si>
    <t>NEFT AXNPN17099673397 PHONEPE PRIVATE LIMITED PAY</t>
  </si>
  <si>
    <t>NEFTINW-1246284784</t>
  </si>
  <si>
    <t>NEFT AXNPN17106756083 PHONEPE PRIVATE LIMITED PAY</t>
  </si>
  <si>
    <t>NEFTINW-1247206389</t>
  </si>
  <si>
    <t>NEFT NRE REM FATEMA DALAL INDBH20069076052 INDB00</t>
  </si>
  <si>
    <t>NEFTINW-1247669392</t>
  </si>
  <si>
    <t>NEFT AXNPN17212701717 PHONEPE PRIVATE LIMITED PAY</t>
  </si>
  <si>
    <t>NEFTINW-1248204488</t>
  </si>
  <si>
    <t>UPI/PARTE CHANDRAKA/106819606385/cash deposit</t>
  </si>
  <si>
    <t>UPI-517267085688</t>
  </si>
  <si>
    <t>MB:0186</t>
  </si>
  <si>
    <t>NEFT AXNPN17321043621 PHONEPE PRIVATE LIMITED PAY</t>
  </si>
  <si>
    <t>NEFTINW-1248986570</t>
  </si>
  <si>
    <t>NEFT ICIN217427070994 LABINDIA INSTRUMENTS PVT LT</t>
  </si>
  <si>
    <t>NEFTINW-1250366603</t>
  </si>
  <si>
    <t>NEFT AXNPN17641685659 PHONEPE PRIVATE LIMITED PAY</t>
  </si>
  <si>
    <t>NEFTINW-1251530250</t>
  </si>
  <si>
    <t>MB:GST may 25</t>
  </si>
  <si>
    <t>NEFT AXNPN17747707196 PHONEPE PRIVATE LIMITED PAY</t>
  </si>
  <si>
    <t>NEFTINW-1252566410</t>
  </si>
  <si>
    <t>NEFT AXNPN17855772208 PHONEPE PRIVATE LIMITED PAY</t>
  </si>
  <si>
    <t>NEFTINW-1253525701</t>
  </si>
  <si>
    <t>NEFT AXNPN17961891545 PHONEPE PRIVATE LIMITED PAY</t>
  </si>
  <si>
    <t>NEFTINW-1254532751</t>
  </si>
  <si>
    <t>IB:RECEIVED FROM ANJAN ARUN MULJI 1111391629</t>
  </si>
  <si>
    <t>MWFA-2414386584</t>
  </si>
  <si>
    <t>NEFT AXNPN18068666498 PHONEPE PRIVATE LIMITED PAY</t>
  </si>
  <si>
    <t>NEFTINW-1255256051</t>
  </si>
  <si>
    <t>MB:rent</t>
  </si>
  <si>
    <t>MB:SENT NEFT CA RAHUL 0117102000017480 IDBI BAN</t>
  </si>
  <si>
    <t>NEFT AXNPN18283119395 PHONEPE PRIVATE LIMITED PAY</t>
  </si>
  <si>
    <t>NEFTINW-1257403424</t>
  </si>
  <si>
    <t>Recd:IMPS/518212947478/ASHA R SAN/KKBK/X7192/Advan</t>
  </si>
  <si>
    <t>IMPS-518212633139</t>
  </si>
  <si>
    <t>NEFT AXNPN18390584914 PHONEPE PRIVATE LIMITED PAY</t>
  </si>
  <si>
    <t>NEFTINW-1258602883</t>
  </si>
  <si>
    <t>NEFT AXNPN18497907609 PHONEPE PRIVATE LIMITED PAY</t>
  </si>
  <si>
    <t>NEFTINW-1259709547</t>
  </si>
  <si>
    <t>NEFT AXNPN18506252190 PHONEPE PRIVATE LIMITED PAY</t>
  </si>
  <si>
    <t>NEFTINW-1260778732</t>
  </si>
  <si>
    <t>UPI/PANDURANG KE/518521510210/Special shoes</t>
  </si>
  <si>
    <t>UPI-518599821300</t>
  </si>
  <si>
    <t>NEFT AXNPN18614062497 PHONEPE PRIVATE LIMITED PAY</t>
  </si>
  <si>
    <t>NEFTINW-1261908343</t>
  </si>
  <si>
    <t>NEFT HDFCH00344298674 I CARE CHEMIST HDFC0000001</t>
  </si>
  <si>
    <t>NEFTINW-1262847756</t>
  </si>
  <si>
    <t>NEFT AXNPN18721654249 PHONEPE PRIVATE LIMITED PAY</t>
  </si>
  <si>
    <t>NEFTINW-1263357475</t>
  </si>
  <si>
    <t>NEFT AXNPN18935576368 PHONEPE PRIVATE LIMITED PAY</t>
  </si>
  <si>
    <t>NEFTINW-1265299039</t>
  </si>
  <si>
    <t>MB:0191</t>
  </si>
  <si>
    <t>NEFT AXNPN19044823005 PHONEPE PRIVATE LIMITED PAY</t>
  </si>
  <si>
    <t>NEFTINW-1266430872</t>
  </si>
  <si>
    <t>NEFT AXNPN19152707375 PHONEPE PRIVATE LIMITED PAY</t>
  </si>
  <si>
    <t>NEFTINW-1267561522</t>
  </si>
  <si>
    <t>MB:SENT NEFT BONY YELLAPA KUNCHIKORVE 616375381</t>
  </si>
  <si>
    <t>NEFT AXNPN1926073039 PHONEPE PRIVATE LIMITED PAY</t>
  </si>
  <si>
    <t>NEFTINW-1268682035</t>
  </si>
  <si>
    <t>NEFT AXNPN19368726238 PHONEPE PRIVATE LIMITED PAY</t>
  </si>
  <si>
    <t>NEFTINW-1269781557</t>
  </si>
  <si>
    <t>MB:refund n office cash</t>
  </si>
  <si>
    <t>NEFT ICIN119383124675 RAJEEV PRABHAKAR PRADHAN SU</t>
  </si>
  <si>
    <t>NEFTINW-1270270055</t>
  </si>
  <si>
    <t>UPI/PARTE CHANDRAKA/108002610137/Cash deposit</t>
  </si>
  <si>
    <t>UPI-519340139409</t>
  </si>
  <si>
    <t>NEFT AXNPN19476640629 PHONEPE PRIVATE LIMITED PAY</t>
  </si>
  <si>
    <t>NEFTINW-1270499221</t>
  </si>
  <si>
    <t>MB:june final</t>
  </si>
  <si>
    <t>UPI/JYOTISH KISHINL/687803517818/3022</t>
  </si>
  <si>
    <t>UPI-519601061192</t>
  </si>
  <si>
    <t>UPI/JYOTISH KISHINL/519632601859/Sent using Payt</t>
  </si>
  <si>
    <t>UPI-519601076748</t>
  </si>
  <si>
    <t>NEFT AXNPN19799631455 PHONEPE PRIVATE LIMITED PAY</t>
  </si>
  <si>
    <t>NEFTINW-1273407848</t>
  </si>
  <si>
    <t>NEFT AXNPN19807628541 PHONEPE PRIVATE LIMITED PAY</t>
  </si>
  <si>
    <t>NEFTINW-1274480855</t>
  </si>
  <si>
    <t>Recd:IMPS/519809249544/SONAM AMJA/KKBK/X7973/IMPS</t>
  </si>
  <si>
    <t>IMPS-519809400751</t>
  </si>
  <si>
    <t>MB:advance</t>
  </si>
  <si>
    <t>NEFT AXNPN19915438419 PHONEPE PRIVATE LIMITED PAY</t>
  </si>
  <si>
    <t>NEFTINW-1275442924</t>
  </si>
  <si>
    <t>Recd:IMPS/519922442460/VIVEK VASA/KKBK/X7698/Remai</t>
  </si>
  <si>
    <t>IMPS-519922403120</t>
  </si>
  <si>
    <t>BY CLG INST 830106/12-07-25/IOB/MUMBAI</t>
  </si>
  <si>
    <t>MB:expense</t>
  </si>
  <si>
    <t>UPI/PARTE CHANDRAKA/108375463367/Balance amount</t>
  </si>
  <si>
    <t>UPI-520060452393</t>
  </si>
  <si>
    <t>NEFT AXNPN20130585785 PHONEPE PRIVATE LIMITED PAY</t>
  </si>
  <si>
    <t>NEFTINW-1277250817</t>
  </si>
  <si>
    <t>MB:0230</t>
  </si>
  <si>
    <t>NEFT CSBKH20210363240 SONAM AMJAD SHAIKH CSBK0000</t>
  </si>
  <si>
    <t>NEFTINW-1278224436</t>
  </si>
  <si>
    <t>MB:advance for medimove</t>
  </si>
  <si>
    <t>NEFT AXNPN20347846956 PHONEPE PRIVATE LIMITED PAY</t>
  </si>
  <si>
    <t>NEFTINW-1279006693</t>
  </si>
  <si>
    <t>NEFT AXNPN20454403250 PHONEPE PRIVATE LIMITED PAY</t>
  </si>
  <si>
    <t>NEFTINW-1279991061</t>
  </si>
  <si>
    <t>NEFT ICIN120483600820 RAJEEV PRABHAKAR PRADHAN SU</t>
  </si>
  <si>
    <t>NEFTINW-1280502849</t>
  </si>
  <si>
    <t>NEFT AXNPN20562058226 PHONEPE PRIVATE LIMITED PAY</t>
  </si>
  <si>
    <t>NEFTINW-1280932195</t>
  </si>
  <si>
    <t>NEFT AXNPN20671122950 PHONEPE PRIVATE LIMITED PAY</t>
  </si>
  <si>
    <t>NEFTINW-1281918621</t>
  </si>
  <si>
    <t>NEFT ICIN220611545365 LABINDIA INSTRUMENTS PVT LT</t>
  </si>
  <si>
    <t>NEFTINW-1282520739</t>
  </si>
  <si>
    <t>MB:sumit sensor</t>
  </si>
  <si>
    <t>NEFT AXNPN20778521715 PHONEPE PRIVATE LIMITED PAY</t>
  </si>
  <si>
    <t>NEFTINW-1282940397</t>
  </si>
  <si>
    <t>Recd:IMPS/520712381116/MILIND YES/KKBK/X8318/Foot</t>
  </si>
  <si>
    <t>IMPS-520712420259</t>
  </si>
  <si>
    <t>NEFT AXNPN20885965514 PHONEPE PRIVATE LIMITED PAY</t>
  </si>
  <si>
    <t>NEFTINW-1283680938</t>
  </si>
  <si>
    <t>NEFT AXNPN21000642889 PHONEPE PRIVATE LIMITED PAY</t>
  </si>
  <si>
    <t>NEFTINW-1285405634</t>
  </si>
  <si>
    <t>NEFT AXNPN21107984051 PHONEPE PRIVATE LIMITED PAY</t>
  </si>
  <si>
    <t>NEFTINW-1286399562</t>
  </si>
  <si>
    <t>NEFT AXNPN21215215391 PHONEPE PRIVATE LIMITED PAY</t>
  </si>
  <si>
    <t>NEFTINW-1287555316</t>
  </si>
  <si>
    <t>MB:Dr Sudatta</t>
  </si>
  <si>
    <t>MB:part</t>
  </si>
  <si>
    <t>NEFT ICIN421253512205 EXCELSIOR LEATHERS PVT LTD</t>
  </si>
  <si>
    <t>NEFTINW-1288278154</t>
  </si>
  <si>
    <t>NEFT AXNPN21322164686 PHONEPE PRIVATE LIMITED PAY</t>
  </si>
  <si>
    <t>NEFTINW-1288898888</t>
  </si>
  <si>
    <t>Recd:IMPS/521311629734/RAVI SAND/KKBK/X4395/Medic</t>
  </si>
  <si>
    <t>IMPS-521311027683</t>
  </si>
  <si>
    <t>NEFT AXNPN21430271861 PHONEPE PRIVATE LIMITED PAY</t>
  </si>
  <si>
    <t>NEFTINW-1290114978</t>
  </si>
  <si>
    <t>NEFT AXNPN21537178651 PHONEPE PRIVATE LIMITED PAY</t>
  </si>
  <si>
    <t>NEFTINW-1291088747</t>
  </si>
  <si>
    <t>NEFT AXNPN21752275099 PHONEPE PRIVATE LIMITED PAY</t>
  </si>
  <si>
    <t>NEFTINW-1292951593</t>
  </si>
  <si>
    <t>NEFT AXNPN21859733929 PHONEPE LIMITED PAYMENT AGG</t>
  </si>
  <si>
    <t>NEFTINW-1294109728</t>
  </si>
  <si>
    <t>MB:Jupiter Event</t>
  </si>
  <si>
    <t>NEFT AXNPN21966697447 PHONEPE LIMITED PAYMENT AGG</t>
  </si>
  <si>
    <t>NEFTINW-1295289016</t>
  </si>
  <si>
    <t>UPI/PARTE CHANDRAKA/109408086477/Balance amount</t>
  </si>
  <si>
    <t>UPI-521954393448</t>
  </si>
  <si>
    <t>NEFT AXNPN22075468349 PHONEPE LIMITED PAYMENT AGG</t>
  </si>
  <si>
    <t>NEFTINW-1296731755</t>
  </si>
  <si>
    <t>NEFT AXNPN22183382489 PHONEPE LIMITED PAYMENT AGG</t>
  </si>
  <si>
    <t>NEFTINW-1297993101</t>
  </si>
  <si>
    <t>NEFT AXNPN22291760052 PHONEPE LIMITED PAYMENT AGG</t>
  </si>
  <si>
    <t>NEFTINW-1298617265</t>
  </si>
  <si>
    <t>NEFT AXNPN22397977105 PHONEPE LIMITED PAYMENT AGG</t>
  </si>
  <si>
    <t>NEFTINW-1299254340</t>
  </si>
  <si>
    <t>NEFT AXNPN22406049132 PHONEPE LIMITED PAYMENT AGG</t>
  </si>
  <si>
    <t>NEFTINW-1300519147</t>
  </si>
  <si>
    <t>NEFT AXNPN22513476506 PHONEPE LIMITED PAYMENT AGG</t>
  </si>
  <si>
    <t>NEFTINW-1301586474</t>
  </si>
  <si>
    <t>UPI/RASHID FOAM CEN/522517216149/NA</t>
  </si>
  <si>
    <t>UPI-522563968592</t>
  </si>
  <si>
    <t>NEFT AXNPN22620324451 PHONEPE LIMITED PAYMENT AGG</t>
  </si>
  <si>
    <t>NEFTINW-1302657064</t>
  </si>
  <si>
    <t>MB:SENT NEFT MONTAC LIFESTYLE 921030053585614 A</t>
  </si>
  <si>
    <t>NEFT AXNPN22728207159 PHONEPE LIMITED PAYMENT AGG</t>
  </si>
  <si>
    <t>NEFTINW-1303756438</t>
  </si>
  <si>
    <t>UPI/PARTE CHANDRAKA/109848297376/Balance amount</t>
  </si>
  <si>
    <t>UPI-522782737405</t>
  </si>
  <si>
    <t>UPI/RASHID FOAM CEN/522717089248/NA</t>
  </si>
  <si>
    <t>UPI-522793353771</t>
  </si>
  <si>
    <t>MB:SENT NEFT S S R FOOTCARE 50200105126019 HDFC</t>
  </si>
  <si>
    <t>NEFT AXNPN22942145123 PHONEPE LIMITED PAYMENT AGG</t>
  </si>
  <si>
    <t>NEFTINW-1305137273</t>
  </si>
  <si>
    <t>NEFT AXISP00702670138 FITTERFLY HEALTHTECH PRIVAT</t>
  </si>
  <si>
    <t>NEFTINW-1306184689</t>
  </si>
  <si>
    <t>NEFT HDFCH00430424106 MILIND YESHWANT GHULE HDFC0</t>
  </si>
  <si>
    <t>NEFTINW-1306501598</t>
  </si>
  <si>
    <t>NEFT AXNPN23155774372 PHONEPE LIMITED PAYMENT AGG</t>
  </si>
  <si>
    <t>NEFTINW-1306839692</t>
  </si>
  <si>
    <t>NEFT AXNPN23262514161 PHONEPE LIMITED PAYMENT AGG</t>
  </si>
  <si>
    <t>NEFTINW-1307808217</t>
  </si>
  <si>
    <t>MB:Bank</t>
  </si>
  <si>
    <t>NEFT AXNPN23370364361 PHONEPE LIMITED PAYMENT AGG</t>
  </si>
  <si>
    <t>NEFTINW-1308887223</t>
  </si>
  <si>
    <t>MB:expense refill 5 k</t>
  </si>
  <si>
    <t>NEFT AXNPN23476248525 PHONEPE LIMITED PAYMENT AGG</t>
  </si>
  <si>
    <t>NEFTINW-1309880007</t>
  </si>
  <si>
    <t>UPI/PARTE CHANDRAKA/110170714196/Balance amount</t>
  </si>
  <si>
    <t>UPI-523431684743</t>
  </si>
  <si>
    <t>NEFT AXNPN23585627741 PHONEPE LIMITED PAYMENT AGG</t>
  </si>
  <si>
    <t>NEFTINW-1310921041</t>
  </si>
  <si>
    <t>NEFT AXNPN23694728366 PHONEPE LIMITED PAYMENT AGG</t>
  </si>
  <si>
    <t>NEFTINW-1311651765</t>
  </si>
  <si>
    <t>NEFT AXNPN23701437742 PHONEPE LIMITED PAYMENT AGG</t>
  </si>
  <si>
    <t>NEFTINW-1312307729</t>
  </si>
  <si>
    <t>NEFT AXNPN23808731033 PHONEPE LIMITED PAYMENT AGG</t>
  </si>
  <si>
    <t>NEFTINW-1313498539</t>
  </si>
  <si>
    <t>NEFT AXNPN23916433218 PHONEPE LIMITED PAYMENT AGG</t>
  </si>
  <si>
    <t>NEFTINW-1314585764</t>
  </si>
  <si>
    <t>NEFT ICIN123992614779 RAJEEV PRABHAKAR PRADHAN SU</t>
  </si>
  <si>
    <t>NEFTINW-1314858668</t>
  </si>
  <si>
    <t>NEFT AXNPN24023230343 PHONEPE LIMITED PAYMENT AGG</t>
  </si>
  <si>
    <t>NEFTINW-1315379719</t>
  </si>
  <si>
    <t>NEFT PUNBH70020836765 ANAGEN CLINICS PVT LTD PUNB</t>
  </si>
  <si>
    <t>NEFTINW-1315764152</t>
  </si>
  <si>
    <t>NEFT AXNPN24130055107 PHONEPE LIMITED PAYMENT AGG</t>
  </si>
  <si>
    <t>NEFTINW-1316407571</t>
  </si>
  <si>
    <t>UPI/PODIAPRO/524112198188/NA</t>
  </si>
  <si>
    <t>UPI-524152528335</t>
  </si>
  <si>
    <t>NEFT AXNPN24237486379 PHONEPE LIMITED PAYMENT AGG</t>
  </si>
  <si>
    <t>NEFTINW-1317647673</t>
  </si>
  <si>
    <t>NEFT AXNPN24344682495 PHONEPE LIMITED PAYMENT AGG</t>
  </si>
  <si>
    <t>NEFTINW-1318664522</t>
  </si>
  <si>
    <t>MB:RECEIVED FROM CHETAN KUNJBIHARI SHAH/DR CHETAN</t>
  </si>
  <si>
    <t>MB-998434121555</t>
  </si>
  <si>
    <t>NEFT AXNPN24559203394 PHONEPE LIMITED PAYMENT AGG</t>
  </si>
  <si>
    <t>NEFTINW-1320614413</t>
  </si>
  <si>
    <t>UPI/KAMLESH KHODABH/524517537544/NA</t>
  </si>
  <si>
    <t>UPI-524535542343</t>
  </si>
  <si>
    <t>MB:part payment for August invoices</t>
  </si>
  <si>
    <t>NEFT AXNPN24666202722 PHONEPE LIMITED PAYMENT AGG</t>
  </si>
  <si>
    <t>NEFTINW-1321646632</t>
  </si>
  <si>
    <t>NEFT AXNPN24880238637 PHONEPE LIMITED PAYMENT AGG</t>
  </si>
  <si>
    <t>NEFTINW-1323865023</t>
  </si>
  <si>
    <t>NEFT AXNPN24987402739 PHONEPE LIMITED PAYMENT AGG</t>
  </si>
  <si>
    <t>NEFTINW-1324776786</t>
  </si>
  <si>
    <t>NEFT AXNPN25094876837 PHONEPE LIMITED PAYMENT AGG</t>
  </si>
  <si>
    <t>NEFTINW-1325812703</t>
  </si>
  <si>
    <t>NEFT AXNPN25208617442 PHONEPE LIMITED PAYMENT AGG</t>
  </si>
  <si>
    <t>NEFTINW-1327609544</t>
  </si>
  <si>
    <t>NEFT NRE REM MICHELLE SERRAO ICIN125296517091 ICI</t>
  </si>
  <si>
    <t>NEFTINW-1327992895</t>
  </si>
  <si>
    <t>UPI/PARTE CHANDRAKA/525241729923/Balance amount</t>
  </si>
  <si>
    <t>UPI-525232109385</t>
  </si>
  <si>
    <t>NEFT AXNPN25317874757 PHONEPE LIMITED PAYMENT AGG</t>
  </si>
  <si>
    <t>NEFTINW-1328946647</t>
  </si>
  <si>
    <t>MB:tousif bhai</t>
  </si>
  <si>
    <t>NEFT AXNPN25425451392 PHONEPE LIMITED PAYMENT AGG</t>
  </si>
  <si>
    <t>NEFTINW-1330185492</t>
  </si>
  <si>
    <t>NEFT AXOMB25402126157 ADWAITA ANANT</t>
  </si>
  <si>
    <t>NEFTINW-1330942866</t>
  </si>
  <si>
    <t>NEFT AXNPN25533082929 PHONEPE LIMITED PAYMENT AGG</t>
  </si>
  <si>
    <t>NEFTINW-1331277097</t>
  </si>
  <si>
    <t>NEFT AXNPN25749017387 PHONEPE LIMITED PAYMENT AGG</t>
  </si>
  <si>
    <t>NEFTINW-1333233376</t>
  </si>
  <si>
    <t>UPI/PARTE CHANDRAKA/525799795601/cash</t>
  </si>
  <si>
    <t>UPI-525737743022</t>
  </si>
  <si>
    <t>SentIMPS525808463675Sonam icic/ICICX7973/SENSOR PA</t>
  </si>
  <si>
    <t>IMPS-525808674965</t>
  </si>
  <si>
    <t>NEFT ICIN125897836644 SONAM AMJAD SHAIKH ICICOSF0</t>
  </si>
  <si>
    <t>NEFTINW-1334954405</t>
  </si>
  <si>
    <t>NEFT AXNPN25964311030 PHONEPE LIMITED PAYMENT AGG</t>
  </si>
  <si>
    <t>NEFTINW-1335146356</t>
  </si>
  <si>
    <t>MB:it returns</t>
  </si>
  <si>
    <t>UPI/M/S.MAHALAXMI E/525915380312/fda</t>
  </si>
  <si>
    <t>UPI-525973577907</t>
  </si>
  <si>
    <t>NEFT AXNPN26071897458 PHONEPE LIMITED PAYMENT AGG</t>
  </si>
  <si>
    <t>NEFTINW-1336185505</t>
  </si>
  <si>
    <t>NEFT AXNPN26179607833 PHONEPE LIMITED PAYMENT AGG</t>
  </si>
  <si>
    <t>NEFTINW-1337250264</t>
  </si>
  <si>
    <t>NEFT NRE REM MICHELLE SERRAO ICIN126198271495 ICI</t>
  </si>
  <si>
    <t>NEFTINW-1337905692</t>
  </si>
  <si>
    <t>NEFT AXNPN26286918730 PHONEPE LIMITED PAYMENT AGG</t>
  </si>
  <si>
    <t>NEFTINW-1338324433</t>
  </si>
  <si>
    <t>NEFT AXNPN26397827088 PHONEPE LIMITED PAYMENT AGG</t>
  </si>
  <si>
    <t>NEFTINW-1339659065</t>
  </si>
  <si>
    <t>MB:travel</t>
  </si>
  <si>
    <t>MB:travel expense</t>
  </si>
  <si>
    <t>MB:Insentive aug</t>
  </si>
  <si>
    <t>MB:incentive aug</t>
  </si>
  <si>
    <t>MB:insentive aug</t>
  </si>
  <si>
    <t>MB:office expense</t>
  </si>
  <si>
    <t>MB:insentive</t>
  </si>
  <si>
    <t>UPI/PARTE CHANDRAKA/562992984630/cash</t>
  </si>
  <si>
    <t>UPI-526333698296</t>
  </si>
  <si>
    <t>MB:part payment for footwear</t>
  </si>
  <si>
    <t>NEFT AXNPN26401538299 PHONEPE LIMITED PAYMENT AGG</t>
  </si>
  <si>
    <t>NEFTINW-1340177760</t>
  </si>
  <si>
    <t>SentIMPS526417927353Sonam/CSBKX0001/KKBKTrans</t>
  </si>
  <si>
    <t>IMPS-526417622048</t>
  </si>
  <si>
    <t>NEFT AXNPN26509060691 PHONEPE LIMITED PAYMENT AGG</t>
  </si>
  <si>
    <t>NEFTINW-1340872325</t>
  </si>
  <si>
    <t>NEFT AXNPN26615157019 PHONEPE LIMITED PAYMENT AGG</t>
  </si>
  <si>
    <t>NEFTINW-1342053140</t>
  </si>
  <si>
    <t>NEFT AXNPN26724003784 PHONEPE LIMITED PAYMENT AGG</t>
  </si>
  <si>
    <t>NEFTINW-1343015691</t>
  </si>
  <si>
    <t>NEFT AXNPN26831463360 PHONEPE LIMITED PAYMENT AGG</t>
  </si>
  <si>
    <t>NEFTINW-1344080535</t>
  </si>
  <si>
    <t>UPI/PARTE CHANDRAKA/111732539727/Balance amount</t>
  </si>
  <si>
    <t>UPI-526850834569</t>
  </si>
  <si>
    <t>NEFT AXNPN26939004917 PHONEPE LIMITED PAYMENT AGG</t>
  </si>
  <si>
    <t>NEFTINW-1345101330</t>
  </si>
  <si>
    <t>MB:August month final</t>
  </si>
  <si>
    <t>Chrg: IMPS Transaction Dated On 15-Sep-2025</t>
  </si>
  <si>
    <t>TBMS-1749376508</t>
  </si>
  <si>
    <t>NEFT AXNPN27046323613 PHONEPE LIMITED PAYMENT AGG</t>
  </si>
  <si>
    <t>NEFTINW-1346158938</t>
  </si>
  <si>
    <t>UPI/RAHUL N GHARAT /527012959874/NA</t>
  </si>
  <si>
    <t>UPI-527082263025</t>
  </si>
  <si>
    <t>NEFT AXNPN27153707121 PHONEPE LIMITED PAYMENT AGG</t>
  </si>
  <si>
    <t>NEFTINW-1346932390</t>
  </si>
  <si>
    <t>UPI/ABDULLAH INTAB</t>
  </si>
  <si>
    <t>UPI-527213466820</t>
  </si>
  <si>
    <t>NEFT HDFCH00511677452 PALASH KESHAVLAL PATEL HDFC</t>
  </si>
  <si>
    <t>NEFTINW-1348589784</t>
  </si>
  <si>
    <t>NEFT AXNPN27368052355 PHONEPE LIMITED PAYMENT AGG</t>
  </si>
  <si>
    <t>NEFTINW-1348844894</t>
  </si>
  <si>
    <t>Chrg: IMPS Transaction Dated On 21-Sep-2025</t>
  </si>
  <si>
    <t>TBMS-1751478633</t>
  </si>
  <si>
    <t>NEFT AXNPN27474083950 PHONEPE LIMITED PAYMENT AGG</t>
  </si>
  <si>
    <t>NEFTINW-1350264150</t>
  </si>
  <si>
    <t>NEFT AXNPN27583287662 PHONEPE LIMITED PAYMENT AGG</t>
  </si>
  <si>
    <t>NEFTINW-1351573236</t>
  </si>
  <si>
    <t>UPI/SONAM AMJAD SHA/527514022500/UPI</t>
  </si>
  <si>
    <t>UPI-527555616408</t>
  </si>
  <si>
    <t>UPI/KAMAL SATISHCHA/527610534233/NA</t>
  </si>
  <si>
    <t>UPI-527687553753</t>
  </si>
  <si>
    <t>UPI/ANAND KUMAR ANI/527633399760/UPI</t>
  </si>
  <si>
    <t>UPI-527691878096</t>
  </si>
  <si>
    <t>UPI/AATHIRA CHANDRA/527644779393/UPI</t>
  </si>
  <si>
    <t>UPI-527613642292</t>
  </si>
  <si>
    <t>NEFT AXNPN27796360229 PHONEPE LIMITED PAYMENT AGG</t>
  </si>
  <si>
    <t>NEFTINW-1353435283</t>
  </si>
  <si>
    <t>MB:SENT TO GULFAM MOINUDDIN MASUTI/10</t>
  </si>
  <si>
    <t>MB-998421845581</t>
  </si>
  <si>
    <t>UPI/UTHAYAKUMAR SUN/527792808791/UPI</t>
  </si>
  <si>
    <t>UPI-527778012052</t>
  </si>
  <si>
    <t>SentIMPS527715889480Sonamicic/ICICX7973/RENT</t>
  </si>
  <si>
    <t>IMPS-527715956820</t>
  </si>
  <si>
    <t>IFT-PRIMEHEAL SUPERSPECIALITY-FCM-251006IZJIC7</t>
  </si>
  <si>
    <t>FCM-251006IZJIC7</t>
  </si>
  <si>
    <t>Cash Deposit at/BMUOH008/Cindrella Foot Wears,Sund</t>
  </si>
  <si>
    <t>UPI/THITE PRANOTI P/164915566304/NO REMARKS</t>
  </si>
  <si>
    <t>UPI-527923440326</t>
  </si>
  <si>
    <t>UPI/GYANENDRA ATAR /527930784220/UPI</t>
  </si>
  <si>
    <t>UPI-527929589624</t>
  </si>
  <si>
    <t>UPI/SAACHI KAMATH/527952693864/Narayan Nayak</t>
  </si>
  <si>
    <t>UPI-527936211469</t>
  </si>
  <si>
    <t>NEFT AXNPN28019830370 PHONEPE LIMITED PAYMENT AGG</t>
  </si>
  <si>
    <t>NEFTINW-1356816087</t>
  </si>
  <si>
    <t>UPI/KAMAL PRITAM GH/564630530034/UPI</t>
  </si>
  <si>
    <t>UPI-528064611028</t>
  </si>
  <si>
    <t>UPI/PARTE CHANDRAKA/564694634285/Paid via CRED</t>
  </si>
  <si>
    <t>UPI-528072910298</t>
  </si>
  <si>
    <t>UPI/PARTE CHANDRAKA/564694635254/Paid via CRED</t>
  </si>
  <si>
    <t>UPI-528072958704</t>
  </si>
  <si>
    <t>UPI/SHUBHAM SANTOSH/564627583888/UPI</t>
  </si>
  <si>
    <t>UPI-528089738629</t>
  </si>
  <si>
    <t>UPI/MULLA MONISA IR/528156905294/UPI</t>
  </si>
  <si>
    <t>UPI-528145289062</t>
  </si>
  <si>
    <t>UPI/KHATRI MAHESH /564736389556/Diabetic Footwe</t>
  </si>
  <si>
    <t>UPI-528146486645</t>
  </si>
  <si>
    <t>UPI/NEHALI MULCHAND/564717109854/UPI</t>
  </si>
  <si>
    <t>UPI-528165657590</t>
  </si>
  <si>
    <t>UPI/RAMACHANDRAN NA/564782926412/UPI</t>
  </si>
  <si>
    <t>UPI-528170693888</t>
  </si>
  <si>
    <t>UPI/RAMACHANDRAN NA/564763934901/UPI</t>
  </si>
  <si>
    <t>UPI-528170789590</t>
  </si>
  <si>
    <t>UPI/MOHAMMED AHMED /436507515598/Footwear advanc</t>
  </si>
  <si>
    <t>UPI-528182965741</t>
  </si>
  <si>
    <t>UPI/PRAKASH NARAYA/671283764470/Payment from Ph</t>
  </si>
  <si>
    <t>UPI-528229782198</t>
  </si>
  <si>
    <t>UPI/KULDIP SINGH PU/112393761668/UPI</t>
  </si>
  <si>
    <t>UPI-528240331764</t>
  </si>
  <si>
    <t>UPI/CHETANA GANPAT /691989425519/Sent using Payt</t>
  </si>
  <si>
    <t>UPI-528253973612</t>
  </si>
  <si>
    <t>UPI/CHETANA GANPAT /691989519289/Sent using Payt</t>
  </si>
  <si>
    <t>UPI-528254078965</t>
  </si>
  <si>
    <t>UPI/ANAND KUMAR ANI/564942871603/Paid via Navi U</t>
  </si>
  <si>
    <t>UPI-528396774147</t>
  </si>
  <si>
    <t>UPI/PARTE CHANDRAKA/112463440915/Balance amount</t>
  </si>
  <si>
    <t>UPI-528339914054</t>
  </si>
  <si>
    <t>NEFT AXNPN28450058205 PHONEPE LIMITED PAYMENT AGG</t>
  </si>
  <si>
    <t>NEFTINW-1361728852</t>
  </si>
  <si>
    <t>SentIMPS528407727849Sonamicic/ICICX7973/TAUSIF SA</t>
  </si>
  <si>
    <t>IMPS-528407684894</t>
  </si>
  <si>
    <t>UPI/GAUTAM ANIL KHA/112473345304/Aai chappals</t>
  </si>
  <si>
    <t>UPI-528457383937</t>
  </si>
  <si>
    <t>UPI/SHAKUNTAL SHIRI/112481973788/UPI</t>
  </si>
  <si>
    <t>UPI-528469213228</t>
  </si>
  <si>
    <t>UPI/PROFEET ENTERPR/528416484254/NA</t>
  </si>
  <si>
    <t>UPI-528486764698</t>
  </si>
  <si>
    <t>UPI/ESAKKITHAI KONA/565243391532/UPI</t>
  </si>
  <si>
    <t>UPI-528637869361</t>
  </si>
  <si>
    <t>UPI/ESAKKITHAI KONA/528790123138/UPI</t>
  </si>
  <si>
    <t>UPI-528778661782</t>
  </si>
  <si>
    <t>UPI/SONAM AMJAD SHA/528712060984/Abdul matin sho</t>
  </si>
  <si>
    <t>UPI-528784118688</t>
  </si>
  <si>
    <t>UPI/SONAM AMJAD SHA/528712084537/pathak payment</t>
  </si>
  <si>
    <t>UPI-528784672417</t>
  </si>
  <si>
    <t>UPI/KULDEEP BHAGWAN/528798056114/for shous</t>
  </si>
  <si>
    <t>UPI-528799086991</t>
  </si>
  <si>
    <t>UPI/MOHAMMED AHMED /653983401479/Footwear balanc</t>
  </si>
  <si>
    <t>UPI-528701669824</t>
  </si>
  <si>
    <t>UPI/MANOJKUMAR G/173008675710/NO REMARKS</t>
  </si>
  <si>
    <t>UPI-528703336867</t>
  </si>
  <si>
    <t>NEFT AXNPN28883527934 PHONEPE LIMITED PAYMENT AGG</t>
  </si>
  <si>
    <t>NEFTINW-1365875695</t>
  </si>
  <si>
    <t>UPI/SWAPNIL RAMESH /112701871409/hetal</t>
  </si>
  <si>
    <t>UPI-528886992555</t>
  </si>
  <si>
    <t>MB:part payment</t>
  </si>
  <si>
    <t>UPI/RAMACHANDRAN NA/528953685741/UPI</t>
  </si>
  <si>
    <t>UPI-528944446503</t>
  </si>
  <si>
    <t>UPI/CHETANA GANPAT /390850097379/Sent using Payt</t>
  </si>
  <si>
    <t>UPI-528956821723</t>
  </si>
  <si>
    <t>UPI/GANESH SURESH S/112831970758/Health ripples</t>
  </si>
  <si>
    <t>UPI-529174680396</t>
  </si>
  <si>
    <t>UPI/VINCENT EDWIN S/529201510529/shoe</t>
  </si>
  <si>
    <t>UPI-529251265788</t>
  </si>
  <si>
    <t>NEFT ICIN129204177718 SONAM AMJAD SHAIKH ICICOSF0</t>
  </si>
  <si>
    <t>NEFTINW-1371313045</t>
  </si>
  <si>
    <t>UPI/GANESH SURESH S/112900856921/Health Ripples</t>
  </si>
  <si>
    <t>UPI-529270148703</t>
  </si>
  <si>
    <t>MB:sep expense</t>
  </si>
  <si>
    <t>MB:Insentive</t>
  </si>
  <si>
    <t>MB:Office petty cash Refill</t>
  </si>
  <si>
    <t>MB:sep expense n insentive</t>
  </si>
  <si>
    <t>UPI/SONAM AMJAD SHA/529317041899/depa</t>
  </si>
  <si>
    <t>UPI-529349308244</t>
  </si>
  <si>
    <t>UPI/WANKHEDE SACHIN/565927770196/UPI</t>
  </si>
  <si>
    <t>UPI-529349624029</t>
  </si>
  <si>
    <t>UPI/SONAM AMJAD SHA/529411522528/Mahadev wankhed</t>
  </si>
  <si>
    <t>UPI-529488881020</t>
  </si>
  <si>
    <t>UPI/PARTE CHANDRAKA/112984890954/cash</t>
  </si>
  <si>
    <t>UPI-529490891886</t>
  </si>
  <si>
    <t>NEFT AXNPN29542833115 PHONEPE LIMITED PAYMENT AGG</t>
  </si>
  <si>
    <t>NEFTINW-1373251639</t>
  </si>
  <si>
    <t>MB:GST liability</t>
  </si>
  <si>
    <t>Chrg: IMPS Transaction Dated On 11-Oct-2025</t>
  </si>
  <si>
    <t>TBMS-1779701156</t>
  </si>
  <si>
    <t>Chrg: IMPS Transaction Dated On 04-Oct-2025</t>
  </si>
  <si>
    <t>TBMS-1779488100</t>
  </si>
  <si>
    <t>UPI/BHIDE VIKAS YES/530148291604/UPI</t>
  </si>
  <si>
    <t>UPI-530146225171</t>
  </si>
  <si>
    <t>NEFT ICIN230105040439 LABINDIA INSTRUMENTS PVT LT</t>
  </si>
  <si>
    <t>NEFTINW-1378902854</t>
  </si>
  <si>
    <t>NEFT AXNPN30296328037 PHONEPE LIMITED PAYMENT AGG</t>
  </si>
  <si>
    <t>NEFTINW-1379215916</t>
  </si>
  <si>
    <t>UPI/PE PULSE PVT LT/530208117716/bhumika Bhider</t>
  </si>
  <si>
    <t>UPI-530271934852</t>
  </si>
  <si>
    <t>UPI/PE PULSE PVT LT/530210458850/bhumika Bhider</t>
  </si>
  <si>
    <t>UPI-530277075257</t>
  </si>
  <si>
    <t>NEFT ICIN430459440322 EXCELSIOR LEATHERS PVT LTD</t>
  </si>
  <si>
    <t>NEFTINW-1382375298</t>
  </si>
  <si>
    <t>Recd:IMPS/530560402069/DREAMPLUG /KKBK/X6201/Paid</t>
  </si>
  <si>
    <t>IMPS-530514438694</t>
  </si>
  <si>
    <t>Recd:IMPS/530560402278/DREAMPLUG /KKBK/X6201/Paid</t>
  </si>
  <si>
    <t>IMPS-530514439008</t>
  </si>
  <si>
    <t>UPI/PARTE CHANDRAKA/530556346456/cash deposit</t>
  </si>
  <si>
    <t>UPI-530590415565</t>
  </si>
  <si>
    <t>UPI/ALMEIDA TRILBY /530845860474/UPI</t>
  </si>
  <si>
    <t>UPI-530811852502</t>
  </si>
  <si>
    <t>UPI/FIROJ/530819336386/NA</t>
  </si>
  <si>
    <t>UPI-530829936256</t>
  </si>
  <si>
    <t>UPI/DOULATH MEHBOOB/920884688479/Payment from Ph</t>
  </si>
  <si>
    <t>UPI-531049398678</t>
  </si>
  <si>
    <t>UPI/NAAZNIN MALCOLM/531024568703/UPI</t>
  </si>
  <si>
    <t>UPI-531061944176</t>
  </si>
  <si>
    <t>NEFT IN12531107565716 SONAM AMJAD SHAIKH ICICOSF0</t>
  </si>
  <si>
    <t>NEFTINW-1389346700</t>
  </si>
  <si>
    <t>UPI/SUBHASHINI SRIR/531378362626/UPI</t>
  </si>
  <si>
    <t>UPI-531341913082</t>
  </si>
  <si>
    <t>MB:office food</t>
  </si>
  <si>
    <t>NEFT CBINH25314863957 B Y L NAIR CHARITABLE HOSPI</t>
  </si>
  <si>
    <t>NEFTINW-1392734814</t>
  </si>
  <si>
    <t>MB:September pending payment</t>
  </si>
  <si>
    <t>UPI/JALAK PRAKASH P/531659167541/Sent using Payt</t>
  </si>
  <si>
    <t>UPI-531677582457</t>
  </si>
  <si>
    <t>UPI/PARTE CHANDRAKA/114087505928/Swapnil Deshpan</t>
  </si>
  <si>
    <t>UPI-531736638346</t>
  </si>
  <si>
    <t>UPI/SRIDHAR GANESAN/114099328606/one sensor</t>
  </si>
  <si>
    <t>UPI-531752905722</t>
  </si>
  <si>
    <t>UPI/GULFAM MOINUDDI/531813257295/NA</t>
  </si>
  <si>
    <t>UPI-531807084978</t>
  </si>
  <si>
    <t>UPI/Kajal Bhaskar B/531905066161/UPI</t>
  </si>
  <si>
    <t>UPI-531982222490</t>
  </si>
  <si>
    <t>UPI/CHANCHAL ANAND/532118299349/FedMobile UPI</t>
  </si>
  <si>
    <t>UPI-532135268116</t>
  </si>
  <si>
    <t>MB:petrol</t>
  </si>
  <si>
    <t>UPI/SAJJAN NANDLAL /568860863776/UPI</t>
  </si>
  <si>
    <t>UPI-532291785729</t>
  </si>
  <si>
    <t>UPI/LAXMI AUTOMOBIL/532416580179/NA</t>
  </si>
  <si>
    <t>UPI-532429357868</t>
  </si>
  <si>
    <t>UPI/MGL KHUSHI ENTE/532416643388/NA</t>
  </si>
  <si>
    <t>UPI-532430780466</t>
  </si>
  <si>
    <t>NEFT AXNPN32584317200 PHONEPE LIMITED PAYMENT AGG</t>
  </si>
  <si>
    <t>NEFTINW-1403238855</t>
  </si>
  <si>
    <t>UPI/SHINY JOY MALAM/532578009209/UPI</t>
  </si>
  <si>
    <t>UPI-532579613073</t>
  </si>
  <si>
    <t>UPI/SHINY JOY MALAM/532526319001/UPI</t>
  </si>
  <si>
    <t>UPI-532579635631</t>
  </si>
  <si>
    <t>UPI/NIHARIKA LENKA/532813007489/sensor</t>
  </si>
  <si>
    <t>UPI-532889659877</t>
  </si>
  <si>
    <t>UPI/PUJA MAHENDRA S/532813028144/sensor</t>
  </si>
  <si>
    <t>UPI-532890026530</t>
  </si>
  <si>
    <t>UPI/HARPREET KAUR/532814399970/sensor</t>
  </si>
  <si>
    <t>UPI-532896253347</t>
  </si>
  <si>
    <t>UPI/SMITA ISHWAR KA/532817883480/MB UPI</t>
  </si>
  <si>
    <t>UPI-532805385527</t>
  </si>
  <si>
    <t>UPI/ANAND KUMAR ANI/532817928134/MB UPI</t>
  </si>
  <si>
    <t>UPI-532806334828</t>
  </si>
  <si>
    <t>NEFT IN22532830041887 LABINDIA INSTRUMENTS PVT LT</t>
  </si>
  <si>
    <t>NEFTINW-1406424290</t>
  </si>
  <si>
    <t>NEFT IN12532809905340 SONAM AMJAD SHAIKH ICICOSF0</t>
  </si>
  <si>
    <t>NEFTINW-1406492067</t>
  </si>
  <si>
    <t>UPI/ISHWAR SHREESHA/532910988102/MB UPI</t>
  </si>
  <si>
    <t>UPI-532947006780</t>
  </si>
  <si>
    <t>UPI/SWAPNA KIRAN PA/532917350484/MB UPI</t>
  </si>
  <si>
    <t>UPI-532972129310</t>
  </si>
  <si>
    <t>UPI/CHANCHAL ANAND/392865142437/Sent using Payt</t>
  </si>
  <si>
    <t>UPI-533030440263</t>
  </si>
  <si>
    <t>MB:gst health ripples</t>
  </si>
  <si>
    <t>UPI/JAYESH SHASHIKA/533213403201/MB UPI</t>
  </si>
  <si>
    <t>UPI-533261742222</t>
  </si>
  <si>
    <t>UPI/JAGADISH DAMODA/533299442972/UPI</t>
  </si>
  <si>
    <t>UPI-533274212000</t>
  </si>
  <si>
    <t>MB:SENT TO RITI KAD/SENSOR</t>
  </si>
  <si>
    <t>MB-998401575628</t>
  </si>
  <si>
    <t>NEFT AXNPN33566694507 PHONEPE LIMITED PAYMENT AGG</t>
  </si>
  <si>
    <t>NEFTINW-1412853491</t>
  </si>
  <si>
    <t>UPI/GANESH SURESH S/533509054441/sensor</t>
  </si>
  <si>
    <t>UPI-533552575588</t>
  </si>
  <si>
    <t>UPI/VILAS D POTNIS/115045924530/ABPN</t>
  </si>
  <si>
    <t>UPI-533708526018</t>
  </si>
  <si>
    <t>UPI/JOY JOSEPH MAL/533963931861/UPI</t>
  </si>
  <si>
    <t>UPI-533986126492</t>
  </si>
  <si>
    <t>UPI/LAXMI AUTOMOBIL/534212751337/NA</t>
  </si>
  <si>
    <t>UPI-534286144176</t>
  </si>
  <si>
    <t>UPI/PARTE CHANDRAKA/570953779857/Balance amount</t>
  </si>
  <si>
    <t>UPI-534355747839</t>
  </si>
  <si>
    <t>UPI/CNG BROADWAY AU/534512138415/NA</t>
  </si>
  <si>
    <t>UPI-534510277245</t>
  </si>
  <si>
    <t>NEFT AXNPN34765921623 PHONEPE LIMITED PAYMENT AGG</t>
  </si>
  <si>
    <t>NEFTINW-1426261902</t>
  </si>
  <si>
    <t>UPI/TARUNA ROHIT AN/534924177406/Sent using Payt</t>
  </si>
  <si>
    <t>UPI-534908644787</t>
  </si>
  <si>
    <t>UPI/SUMUKH PUROHIT/535455712769/UPI</t>
  </si>
  <si>
    <t>UPI-535458317705</t>
  </si>
  <si>
    <t>UPI/MGL KHUSHI ENTE/535417424163/NA</t>
  </si>
  <si>
    <t>UPI-535469861541</t>
  </si>
  <si>
    <t>UPI/PRIMROSE RODRIG/535477770585/UPI</t>
  </si>
  <si>
    <t>UPI-535473365662</t>
  </si>
  <si>
    <t>UPI/HARSHAD UDHALI/535690628180/Paid via CRED</t>
  </si>
  <si>
    <t>UPI-535693743821</t>
  </si>
  <si>
    <t>UPI/AJAY SHYAM KANB/696049999688/Sent using Payt</t>
  </si>
  <si>
    <t>UPI-535629775172</t>
  </si>
  <si>
    <t>UPI/CNG BROADWAY AU/536108194541/NA</t>
  </si>
  <si>
    <t>UPI-536122682527</t>
  </si>
  <si>
    <t>UPI/ROHIT KAKAPURI/536185086958/UPI</t>
  </si>
  <si>
    <t>UPI-536152291879</t>
  </si>
  <si>
    <t>UPI/LABHESH VIJAY M/116262115425/UPI</t>
  </si>
  <si>
    <t>UPI-536153174578</t>
  </si>
  <si>
    <t>UPI/MOHSIN AYUB VOH/572732456402/UPI</t>
  </si>
  <si>
    <t>UPI-536156545977</t>
  </si>
  <si>
    <t>UPI/SAGAR PRAMOD KA/696318524496/Sent using Payt</t>
  </si>
  <si>
    <t>UPI-536157024606</t>
  </si>
  <si>
    <t>UPI/SATYAM SHIVAM E/536313121040/NA</t>
  </si>
  <si>
    <t>UPI-536373655704</t>
  </si>
  <si>
    <t>UPI/NITIN PANDURANG/084444885458/NO REMARKS</t>
  </si>
  <si>
    <t>UPI-536426726345</t>
  </si>
  <si>
    <t>UPI/MANASI UDAY PEN/573074635674/bolter ecg test</t>
  </si>
  <si>
    <t>UPI-536432304597</t>
  </si>
  <si>
    <t>UPI/BHARAT SURESH L/536415765217/NA</t>
  </si>
  <si>
    <t>UPI-536451921810</t>
  </si>
  <si>
    <t>UPI/MGL MSRTC KHOPA/536514172906/NA</t>
  </si>
  <si>
    <t>UPI-536522719487</t>
  </si>
  <si>
    <t>UPI/NAAZNIN MALCOLM/600223419867/UPI</t>
  </si>
  <si>
    <t>UPI-600297628858</t>
  </si>
  <si>
    <t>NEFT IN22600216346939 LABINDIA INSTRUMENTS PVT LT</t>
  </si>
  <si>
    <t>NEFTINW-1447086076</t>
  </si>
  <si>
    <t>UPI/PRADEEP KUMAR R/600564333570/UPI</t>
  </si>
  <si>
    <t>UPI-600599060727</t>
  </si>
  <si>
    <t>MB:SENT TO GULFAM MOINUDDIN MASUTI/CONSULTANCY</t>
  </si>
  <si>
    <t>MB-998388704202</t>
  </si>
  <si>
    <t>MB:loan</t>
  </si>
  <si>
    <t>UPI/DHWANI SARAIYA/395069133459/Sent using Payt</t>
  </si>
  <si>
    <t>UPI-600758440177</t>
  </si>
  <si>
    <t>UPI/MGL MSRTC KHOPA/600815073163/NA</t>
  </si>
  <si>
    <t>UPI-600841678106</t>
  </si>
  <si>
    <t>MB:SENT TO JUST GET MED</t>
  </si>
  <si>
    <t>MB-998387750335</t>
  </si>
  <si>
    <t>UPI/PARINA NAWAL BA/600867123583/Sending 1</t>
  </si>
  <si>
    <t>UPI-600848519518</t>
  </si>
  <si>
    <t>UPI/PARINA NAWAL BA/395228386129/Diabetic preven</t>
  </si>
  <si>
    <t>UPI-601061577400</t>
  </si>
  <si>
    <t>UPI/PARINA NAWAL BA/601009911100/MB UPI</t>
  </si>
  <si>
    <t>UPI-601065168544</t>
  </si>
  <si>
    <t>UPI/Swiggy Ltd/601012515635/Pay for Intent</t>
  </si>
  <si>
    <t>UPI-601077966953</t>
  </si>
  <si>
    <t>UPI/PRAKASH P GORAY/192030295909/Pratibha Goray</t>
  </si>
  <si>
    <t>UPI-601009602315</t>
  </si>
  <si>
    <t>UPI/SHUBH KAMAL SRI/601352148690/UPI</t>
  </si>
  <si>
    <t>UPI-601323817919</t>
  </si>
  <si>
    <t>UPI/KULKARNI ASHWIN/117152581236/UPI</t>
  </si>
  <si>
    <t>UPI-601349882665</t>
  </si>
  <si>
    <t>UPI/PROFEET ENTERPR/601411651575/NA</t>
  </si>
  <si>
    <t>UPI-601474900479</t>
  </si>
  <si>
    <t>MB:152</t>
  </si>
  <si>
    <t>UPI/DIVYA KARTHIK I/117174998666/ABPM</t>
  </si>
  <si>
    <t>UPI-601485759794</t>
  </si>
  <si>
    <t>UPI/CHANCHAL ANAND/298543362583/Sent using Payt</t>
  </si>
  <si>
    <t>UPI-601783111601</t>
  </si>
  <si>
    <t>UPI/ARUNDHATI AJAY /109004657235/UPI Payment</t>
  </si>
  <si>
    <t>UPI-601700435465</t>
  </si>
  <si>
    <t>UPI/UKALE VIKRANT D/602216875928/NA</t>
  </si>
  <si>
    <t>UPI-602254259036</t>
  </si>
  <si>
    <t>UPI/JYJ AND CO/602217056396/NA</t>
  </si>
  <si>
    <t>UPI-602257922701</t>
  </si>
  <si>
    <t>UPI/ARYAN DEEPAK GU/638910853234/cgms</t>
  </si>
  <si>
    <t>UPI-602306763092</t>
  </si>
  <si>
    <t>UPI/MAHESH VIJAY BE/602302217234/Diabetes Libre</t>
  </si>
  <si>
    <t>UPI-602316492670</t>
  </si>
  <si>
    <t>UPI/SIMANCHAL LADU /639316671321/footwear</t>
  </si>
  <si>
    <t>UPI-602782127480</t>
  </si>
  <si>
    <t>UPI/RAHUL K PARMAR/247314414427/Diabetesmachine</t>
  </si>
  <si>
    <t>UPI-602702028786</t>
  </si>
  <si>
    <t>UPI/SRIDHAR GANESAN/117967732203/UPI</t>
  </si>
  <si>
    <t>UPI-603199196676</t>
  </si>
  <si>
    <t>UPI/PRIMROSE RODRIG/639771159773/UPI</t>
  </si>
  <si>
    <t>UPI-603102452096</t>
  </si>
  <si>
    <t>UPI/PRIMROSE RODRIG/639751651761/UPI</t>
  </si>
  <si>
    <t>UPI-603102493209</t>
  </si>
  <si>
    <t>UPI/ARUNDHATI AJAY /109119478051/UPI Payment</t>
  </si>
  <si>
    <t>UPI-603413532438</t>
  </si>
  <si>
    <t>UPI/CHANCHAL ANAND/603416278655/FedMobile UPI</t>
  </si>
  <si>
    <t>UPI-603418325665</t>
  </si>
  <si>
    <t>UPI/VAISHNAVI D KAR/603549764103/UPI</t>
  </si>
  <si>
    <t>UPI-603597843492</t>
  </si>
  <si>
    <t>UPI/SHASHIBALA R SO/603616370244/MB UPI</t>
  </si>
  <si>
    <t>UPI-603675939385</t>
  </si>
  <si>
    <t>MB:SENT TO GULFAM MOINUDDIN MASUTI</t>
  </si>
  <si>
    <t>MB-998378456911</t>
  </si>
  <si>
    <t>UPI/RUPALI PRASANNA/118248756364/Prasanna Upadhy</t>
  </si>
  <si>
    <t>UPI-603738791574</t>
  </si>
  <si>
    <t>Recd:IMPS/603823641847/SUMUKH PUR/KKBK/X0652/IMPS</t>
  </si>
  <si>
    <t>IMPS-603823848083</t>
  </si>
  <si>
    <t>UPI/G G SERVICE STA/604010567163/NA</t>
  </si>
  <si>
    <t>UPI-604054527124</t>
  </si>
  <si>
    <t>UPI/ANKITA BRAHMA/604143302882/UPI</t>
  </si>
  <si>
    <t>UPI-604152536396</t>
  </si>
  <si>
    <t>MB:SENT TO JYJ AND CO/GST RETURN</t>
  </si>
  <si>
    <t>MB-998376562556</t>
  </si>
  <si>
    <t>UPI/SHUBH KAMAL SRI/640897374505/UPI</t>
  </si>
  <si>
    <t>UPI-604234098566</t>
  </si>
  <si>
    <t>UPI/URVEEJA THEATER/641037394149/UPI</t>
  </si>
  <si>
    <t>UPI-604455012225</t>
  </si>
  <si>
    <t>MB:phone</t>
  </si>
  <si>
    <t>UPI/PE PULSE PVT LT/604417869277/NA</t>
  </si>
  <si>
    <t>UPI-604485229406</t>
  </si>
  <si>
    <t>UPI/DHANANJAY SRIVA/397294297850/Sent using Payt</t>
  </si>
  <si>
    <t>UPI-604574183686</t>
  </si>
  <si>
    <t>UPI/PROFEET ENTERPR/604714783645/air walker</t>
  </si>
  <si>
    <t>UPI-604797170777</t>
  </si>
  <si>
    <t>NEFT CBINH26048822326 B Y L NAIR CHARITABLE HOSPI</t>
  </si>
  <si>
    <t>NEFTINW-1495036669</t>
  </si>
  <si>
    <t>UPI/MANALI BHISE/604850096136/ABPM machine</t>
  </si>
  <si>
    <t>UPI-604879694689</t>
  </si>
  <si>
    <t>UPI/MANALI BHISE/604995900931/for holter mach</t>
  </si>
  <si>
    <t>UPI-604982465054</t>
  </si>
  <si>
    <t>UPI/MEGHANA SAURABH/642079860607/UPI</t>
  </si>
  <si>
    <t>UPI-605495043780</t>
  </si>
  <si>
    <t>MB:SENT TO JYJ AND CO/GST</t>
  </si>
  <si>
    <t>MB-998372631799</t>
  </si>
  <si>
    <t>UPI/GAUTAM C KARNAN/605699945095/UPI</t>
  </si>
  <si>
    <t>UPI-605632906598</t>
  </si>
  <si>
    <t>UPI/CNG JIVAN ANDHE/605615740737/NA</t>
  </si>
  <si>
    <t>UPI-605644344975</t>
  </si>
  <si>
    <t>UPI/ADVANCE CARDIO /605714967061/health ripples</t>
  </si>
  <si>
    <t>UPI-605707565177</t>
  </si>
  <si>
    <t>UPI/SUNIL YADAV/606521794194/NA</t>
  </si>
  <si>
    <t>UPI-606549353505</t>
  </si>
  <si>
    <t>NEFT IN22606934384749 LABINDIA INSTRUMENTS PVT LT</t>
  </si>
  <si>
    <t>NEFTINW-1517930274</t>
  </si>
  <si>
    <t>UPI/SUMUKH PUROHIT/643671185462/UPI</t>
  </si>
  <si>
    <t>UPI-607024109225</t>
  </si>
  <si>
    <t>UPI/Sandeep Puri/607213057915/NA</t>
  </si>
  <si>
    <t>UPI-607241701722</t>
  </si>
  <si>
    <t>UPI/ARUNDHATI AJAY /109393023683/sensors</t>
  </si>
  <si>
    <t>UPI-607560402102</t>
  </si>
  <si>
    <t>UPI/Mr Rajkaran Vas/607721139600/NA</t>
  </si>
  <si>
    <t>UPI-607753034613</t>
  </si>
  <si>
    <t>UPI/Khushi Enterpri/608513197194/NA</t>
  </si>
  <si>
    <t>UPI-608577046860</t>
  </si>
  <si>
    <t>SentIMPS608723120782Sonamicic/ICICX7973/KKBKTrans</t>
  </si>
  <si>
    <t>IMPS-608723590761</t>
  </si>
  <si>
    <t>CHRG: IMPS TRANSACTION DATED ON 28-MAR-2026</t>
  </si>
  <si>
    <t>PHONEPE PRIVATE LIMITED</t>
  </si>
  <si>
    <t>Kotak Mahindra Bank</t>
  </si>
  <si>
    <t>Professional Tax A/c</t>
  </si>
  <si>
    <t>S S R Footcare</t>
  </si>
  <si>
    <t>Cash Account</t>
  </si>
  <si>
    <t>Rent</t>
  </si>
  <si>
    <t>Salary</t>
  </si>
  <si>
    <t>SUSPENSE</t>
  </si>
  <si>
    <t>Expense</t>
  </si>
  <si>
    <t>Sundry Debtors</t>
  </si>
  <si>
    <t>Labindia Instruments Private Limited</t>
  </si>
  <si>
    <t>Sundry Creditors</t>
  </si>
  <si>
    <t>Office Utilities</t>
  </si>
  <si>
    <t>SONAM</t>
  </si>
  <si>
    <t>GST Payable</t>
  </si>
  <si>
    <t>ARPIT AGAR</t>
  </si>
  <si>
    <t>Firstcare Pharmacy</t>
  </si>
  <si>
    <t>CHANDRAKANT</t>
  </si>
  <si>
    <t>ANANAD</t>
  </si>
  <si>
    <t>JYJ&amp;CO</t>
  </si>
  <si>
    <t>Bank Charge</t>
  </si>
  <si>
    <t>Anvi Enterprises</t>
  </si>
  <si>
    <t>CA RAHUL</t>
  </si>
  <si>
    <t>I Care Chemist</t>
  </si>
  <si>
    <t>Excelsior Leathers Pvt.ltd.</t>
  </si>
  <si>
    <t>Montac Lifestyle</t>
  </si>
  <si>
    <t>Fitterfly Healthtech Private Limited</t>
  </si>
  <si>
    <t>Anagen Clinics Pvt Ltd .</t>
  </si>
  <si>
    <t>Pe Pulse Private Limited</t>
  </si>
  <si>
    <t>B Y L NAIR CHARITABLE HOSP</t>
  </si>
  <si>
    <t>Consultancy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</si>
</sst>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4009]dd/mm/yyyy;@"/>
  </numFmts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horizontal="left" vertical="top" wrapText="1" readingOrder="1"/>
    </xf>
    <xf numFmtId="0" fontId="0" fillId="0" borderId="0" xfId="0" applyAlignment="1">
      <alignment horizontal="left" vertical="top"/>
    </xf>
    <xf numFmtId="2" fontId="2" fillId="0" borderId="1" xfId="0" applyNumberFormat="1" applyFont="1" applyBorder="1" applyAlignment="1">
      <alignment horizontal="left" vertical="top" wrapText="1" readingOrder="1"/>
    </xf>
    <xf numFmtId="2" fontId="1" fillId="0" borderId="1" xfId="0" applyNumberFormat="1" applyFont="1" applyBorder="1" applyAlignment="1">
      <alignment horizontal="left" vertical="top" wrapText="1" readingOrder="1"/>
    </xf>
    <xf numFmtId="2" fontId="0" fillId="0" borderId="0" xfId="0" applyNumberFormat="1" applyAlignment="1">
      <alignment horizontal="left" vertical="top"/>
    </xf>
    <xf numFmtId="14" fontId="2" fillId="0" borderId="1" xfId="0" applyNumberFormat="1" applyFont="1" applyBorder="1" applyAlignment="1">
      <alignment horizontal="left" vertical="top" wrapText="1" readingOrder="1"/>
    </xf>
    <xf numFmtId="14" fontId="1" fillId="0" borderId="1" xfId="0" applyNumberFormat="1" applyFont="1" applyBorder="1" applyAlignment="1">
      <alignment horizontal="left" vertical="top" wrapText="1" readingOrder="1"/>
    </xf>
    <xf numFmtId="14" fontId="0" fillId="0" borderId="0" xfId="0" applyNumberFormat="1" applyAlignment="1">
      <alignment horizontal="left" vertical="top"/>
    </xf>
    <xf numFmtId="15" fontId="1" fillId="0" borderId="1" xfId="0" applyNumberFormat="1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4" fontId="1" fillId="0" borderId="1" xfId="0" applyNumberFormat="1" applyFont="1" applyBorder="1" applyAlignment="1">
      <alignment horizontal="left" vertical="center" wrapText="1" readingOrder="1"/>
    </xf>
    <xf numFmtId="2" fontId="1" fillId="0" borderId="1" xfId="0" applyNumberFormat="1" applyFont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top"/>
    </xf>
    <xf numFmtId="14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0" fontId="3" fillId="0" borderId="0" xfId="0" applyFont="1"/>
    <xf numFmtId="4" fontId="0" fillId="0" borderId="0" xfId="0" applyNumberFormat="1" applyAlignment="1">
      <alignment horizontal="left" vertical="top"/>
    </xf>
    <xf numFmtId="0" fontId="0" fillId="0" borderId="2" xfId="0" applyBorder="1" applyAlignment="1">
      <alignment horizontal="left" vertical="top"/>
    </xf>
    <xf numFmtId="14" fontId="0" fillId="0" borderId="3" xfId="0" applyNumberFormat="1" applyBorder="1" applyAlignment="1">
      <alignment horizontal="left" vertical="top"/>
    </xf>
    <xf numFmtId="168" fontId="0" fillId="0" borderId="3" xfId="0" applyNumberFormat="1" applyBorder="1" applyAlignment="1">
      <alignment horizontal="left" vertical="top"/>
    </xf>
    <xf numFmtId="1" fontId="0" fillId="0" borderId="3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2" fontId="0" fillId="0" borderId="3" xfId="0" applyNumberForma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14" fontId="0" fillId="0" borderId="0" xfId="0" applyNumberFormat="1"/>
    <xf numFmtId="0" fontId="4" fillId="2" borderId="3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4" fontId="0" fillId="0" borderId="7" xfId="0" applyNumberFormat="1" applyBorder="1" applyAlignment="1">
      <alignment horizontal="left" vertical="top"/>
    </xf>
    <xf numFmtId="1" fontId="0" fillId="0" borderId="7" xfId="0" applyNumberForma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2" fontId="0" fillId="0" borderId="7" xfId="0" applyNumberFormat="1" applyBorder="1" applyAlignment="1">
      <alignment horizontal="left" vertical="top"/>
    </xf>
    <xf numFmtId="0" fontId="4" fillId="2" borderId="8" xfId="0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14" fontId="3" fillId="4" borderId="3" xfId="0" applyNumberFormat="1" applyFont="1" applyFill="1" applyBorder="1" applyAlignment="1">
      <alignment horizontal="left" vertical="top"/>
    </xf>
    <xf numFmtId="1" fontId="3" fillId="4" borderId="3" xfId="0" applyNumberFormat="1" applyFont="1" applyFill="1" applyBorder="1" applyAlignment="1">
      <alignment horizontal="left" vertical="top"/>
    </xf>
    <xf numFmtId="2" fontId="3" fillId="4" borderId="3" xfId="0" applyNumberFormat="1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14" fontId="3" fillId="5" borderId="3" xfId="0" applyNumberFormat="1" applyFont="1" applyFill="1" applyBorder="1" applyAlignment="1">
      <alignment horizontal="left" vertical="top"/>
    </xf>
    <xf numFmtId="1" fontId="3" fillId="5" borderId="3" xfId="0" applyNumberFormat="1" applyFont="1" applyFill="1" applyBorder="1" applyAlignment="1">
      <alignment horizontal="left" vertical="top"/>
    </xf>
    <xf numFmtId="2" fontId="3" fillId="5" borderId="3" xfId="0" applyNumberFormat="1" applyFont="1" applyFill="1" applyBorder="1" applyAlignment="1">
      <alignment horizontal="left" vertical="top"/>
    </xf>
    <xf numFmtId="0" fontId="3" fillId="6" borderId="3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3"/>
  <sheetViews>
    <sheetView topLeftCell="A557" workbookViewId="0">
      <selection activeCell="F573" activeCellId="1" sqref="F431:F559 F573"/>
    </sheetView>
  </sheetViews>
  <sheetFormatPr defaultColWidth="32.42578125" defaultRowHeight="15" x14ac:dyDescent="0.25"/>
  <cols>
    <col min="1" max="1" width="32.42578125" style="3"/>
    <col min="2" max="2" width="11.28515625" style="9" bestFit="1" customWidth="1"/>
    <col min="3" max="3" width="54.28515625" style="3" bestFit="1" customWidth="1"/>
    <col min="4" max="4" width="47" style="6" customWidth="1"/>
    <col min="5" max="5" width="17.28515625" style="3" bestFit="1" customWidth="1"/>
    <col min="6" max="6" width="14" style="3" bestFit="1" customWidth="1"/>
    <col min="7" max="7" width="11.85546875" style="3" bestFit="1" customWidth="1"/>
  </cols>
  <sheetData>
    <row r="1" spans="1:7" ht="15.75" thickBot="1" x14ac:dyDescent="0.3">
      <c r="A1" s="1"/>
      <c r="B1" s="7" t="s">
        <v>0</v>
      </c>
      <c r="C1" s="1" t="s">
        <v>1</v>
      </c>
      <c r="D1" s="4" t="s">
        <v>2</v>
      </c>
      <c r="E1" s="1" t="s">
        <v>3</v>
      </c>
      <c r="F1" s="1" t="s">
        <v>4</v>
      </c>
      <c r="G1" s="1" t="s">
        <v>5</v>
      </c>
    </row>
    <row r="2" spans="1:7" ht="15.75" thickBot="1" x14ac:dyDescent="0.3">
      <c r="A2" s="2"/>
      <c r="B2" s="8" t="s">
        <v>6</v>
      </c>
      <c r="C2" s="1" t="s">
        <v>7</v>
      </c>
      <c r="D2" s="5" t="s">
        <v>6</v>
      </c>
      <c r="E2" s="2" t="s">
        <v>6</v>
      </c>
      <c r="F2" s="2" t="s">
        <v>6</v>
      </c>
      <c r="G2" s="2">
        <v>149799</v>
      </c>
    </row>
    <row r="3" spans="1:7" ht="29.25" thickBot="1" x14ac:dyDescent="0.3">
      <c r="A3" s="2"/>
      <c r="B3" s="8">
        <v>45748</v>
      </c>
      <c r="C3" s="2" t="s">
        <v>8</v>
      </c>
      <c r="D3" s="5" t="s">
        <v>9</v>
      </c>
      <c r="E3" s="2"/>
      <c r="F3" s="2">
        <v>9775</v>
      </c>
      <c r="G3" s="2">
        <v>159574</v>
      </c>
    </row>
    <row r="4" spans="1:7" ht="15.75" thickBot="1" x14ac:dyDescent="0.3">
      <c r="A4" s="2"/>
      <c r="B4" s="8">
        <v>45748</v>
      </c>
      <c r="C4" s="2" t="s">
        <v>10</v>
      </c>
      <c r="D4" s="5">
        <v>454979027</v>
      </c>
      <c r="E4" s="2">
        <v>4400</v>
      </c>
      <c r="F4" s="2"/>
      <c r="G4" s="2">
        <v>155174</v>
      </c>
    </row>
    <row r="5" spans="1:7" ht="29.25" thickBot="1" x14ac:dyDescent="0.3">
      <c r="A5" s="2"/>
      <c r="B5" s="8">
        <v>45749</v>
      </c>
      <c r="C5" s="2" t="s">
        <v>11</v>
      </c>
      <c r="D5" s="5" t="s">
        <v>12</v>
      </c>
      <c r="E5" s="2"/>
      <c r="F5" s="2">
        <v>2900</v>
      </c>
      <c r="G5" s="2">
        <v>158074</v>
      </c>
    </row>
    <row r="6" spans="1:7" ht="29.25" thickBot="1" x14ac:dyDescent="0.3">
      <c r="A6" s="2"/>
      <c r="B6" s="8">
        <v>45749</v>
      </c>
      <c r="C6" s="2" t="s">
        <v>13</v>
      </c>
      <c r="D6" s="5">
        <v>455031445</v>
      </c>
      <c r="E6" s="2">
        <v>80000</v>
      </c>
      <c r="F6" s="2"/>
      <c r="G6" s="2">
        <v>78074</v>
      </c>
    </row>
    <row r="7" spans="1:7" ht="15.75" thickBot="1" x14ac:dyDescent="0.3">
      <c r="A7" s="2"/>
      <c r="B7" s="8">
        <v>45749</v>
      </c>
      <c r="C7" s="2" t="s">
        <v>14</v>
      </c>
      <c r="D7" s="5">
        <v>455133112</v>
      </c>
      <c r="E7" s="2">
        <v>5200</v>
      </c>
      <c r="F7" s="2"/>
      <c r="G7" s="2">
        <v>72874</v>
      </c>
    </row>
    <row r="8" spans="1:7" ht="29.25" thickBot="1" x14ac:dyDescent="0.3">
      <c r="A8" s="2"/>
      <c r="B8" s="8">
        <v>45750</v>
      </c>
      <c r="C8" s="2" t="s">
        <v>15</v>
      </c>
      <c r="D8" s="5" t="s">
        <v>16</v>
      </c>
      <c r="E8" s="2"/>
      <c r="F8" s="2">
        <v>2800</v>
      </c>
      <c r="G8" s="2">
        <v>75674</v>
      </c>
    </row>
    <row r="9" spans="1:7" ht="29.25" thickBot="1" x14ac:dyDescent="0.3">
      <c r="A9" s="2"/>
      <c r="B9" s="8">
        <v>45751</v>
      </c>
      <c r="C9" s="2" t="s">
        <v>17</v>
      </c>
      <c r="D9" s="5" t="s">
        <v>18</v>
      </c>
      <c r="E9" s="2"/>
      <c r="F9" s="2">
        <v>3900</v>
      </c>
      <c r="G9" s="2">
        <v>79574</v>
      </c>
    </row>
    <row r="10" spans="1:7" ht="29.25" thickBot="1" x14ac:dyDescent="0.3">
      <c r="A10" s="2"/>
      <c r="B10" s="8">
        <v>45752</v>
      </c>
      <c r="C10" s="2" t="s">
        <v>19</v>
      </c>
      <c r="D10" s="5" t="s">
        <v>20</v>
      </c>
      <c r="E10" s="2"/>
      <c r="F10" s="2">
        <v>9749</v>
      </c>
      <c r="G10" s="2">
        <v>89323</v>
      </c>
    </row>
    <row r="11" spans="1:7" ht="29.25" thickBot="1" x14ac:dyDescent="0.3">
      <c r="A11" s="2"/>
      <c r="B11" s="8">
        <v>45753</v>
      </c>
      <c r="C11" s="2" t="s">
        <v>21</v>
      </c>
      <c r="D11" s="5" t="s">
        <v>22</v>
      </c>
      <c r="E11" s="2"/>
      <c r="F11" s="2">
        <v>19460</v>
      </c>
      <c r="G11" s="2">
        <v>108783</v>
      </c>
    </row>
    <row r="12" spans="1:7" ht="29.25" thickBot="1" x14ac:dyDescent="0.3">
      <c r="A12" s="2"/>
      <c r="B12" s="8">
        <v>45754</v>
      </c>
      <c r="C12" s="2" t="s">
        <v>23</v>
      </c>
      <c r="D12" s="5">
        <v>509712700351</v>
      </c>
      <c r="E12" s="2"/>
      <c r="F12" s="2">
        <v>15500</v>
      </c>
      <c r="G12" s="2">
        <v>124283</v>
      </c>
    </row>
    <row r="13" spans="1:7" ht="29.25" thickBot="1" x14ac:dyDescent="0.3">
      <c r="A13" s="2"/>
      <c r="B13" s="8">
        <v>45754</v>
      </c>
      <c r="C13" s="2" t="s">
        <v>23</v>
      </c>
      <c r="D13" s="5">
        <v>509712700353</v>
      </c>
      <c r="E13" s="2"/>
      <c r="F13" s="2">
        <v>200</v>
      </c>
      <c r="G13" s="2">
        <v>124483</v>
      </c>
    </row>
    <row r="14" spans="1:7" ht="15.75" thickBot="1" x14ac:dyDescent="0.3">
      <c r="A14" s="2"/>
      <c r="B14" s="8">
        <v>45754</v>
      </c>
      <c r="C14" s="2" t="s">
        <v>24</v>
      </c>
      <c r="D14" s="5">
        <v>456151618</v>
      </c>
      <c r="E14" s="2">
        <v>30000</v>
      </c>
      <c r="F14" s="2"/>
      <c r="G14" s="2">
        <v>94483</v>
      </c>
    </row>
    <row r="15" spans="1:7" ht="29.25" thickBot="1" x14ac:dyDescent="0.3">
      <c r="A15" s="2"/>
      <c r="B15" s="8">
        <v>45755</v>
      </c>
      <c r="C15" s="2" t="s">
        <v>25</v>
      </c>
      <c r="D15" s="5" t="s">
        <v>26</v>
      </c>
      <c r="E15" s="2"/>
      <c r="F15" s="2">
        <v>15000</v>
      </c>
      <c r="G15" s="2">
        <v>109483</v>
      </c>
    </row>
    <row r="16" spans="1:7" ht="15.75" thickBot="1" x14ac:dyDescent="0.3">
      <c r="A16" s="2"/>
      <c r="B16" s="8">
        <v>45755</v>
      </c>
      <c r="C16" s="2" t="s">
        <v>27</v>
      </c>
      <c r="D16" s="5">
        <v>456215988</v>
      </c>
      <c r="E16" s="2">
        <v>24000</v>
      </c>
      <c r="F16" s="2"/>
      <c r="G16" s="2">
        <v>85483</v>
      </c>
    </row>
    <row r="17" spans="1:7" ht="15.75" thickBot="1" x14ac:dyDescent="0.3">
      <c r="A17" s="2"/>
      <c r="B17" s="8">
        <v>45755</v>
      </c>
      <c r="C17" s="2" t="s">
        <v>27</v>
      </c>
      <c r="D17" s="5">
        <v>456216112</v>
      </c>
      <c r="E17" s="2">
        <v>23000</v>
      </c>
      <c r="F17" s="2"/>
      <c r="G17" s="2">
        <v>62483</v>
      </c>
    </row>
    <row r="18" spans="1:7" ht="29.25" thickBot="1" x14ac:dyDescent="0.3">
      <c r="A18" s="2"/>
      <c r="B18" s="8">
        <v>45756</v>
      </c>
      <c r="C18" s="2" t="s">
        <v>28</v>
      </c>
      <c r="D18" s="5" t="s">
        <v>29</v>
      </c>
      <c r="E18" s="2"/>
      <c r="F18" s="2">
        <v>11548.34</v>
      </c>
      <c r="G18" s="2">
        <v>74031.34</v>
      </c>
    </row>
    <row r="19" spans="1:7" ht="29.25" thickBot="1" x14ac:dyDescent="0.3">
      <c r="A19" s="2"/>
      <c r="B19" s="8">
        <v>45757</v>
      </c>
      <c r="C19" s="2" t="s">
        <v>30</v>
      </c>
      <c r="D19" s="5" t="s">
        <v>31</v>
      </c>
      <c r="E19" s="2"/>
      <c r="F19" s="2">
        <v>8550</v>
      </c>
      <c r="G19" s="2">
        <v>82581.34</v>
      </c>
    </row>
    <row r="20" spans="1:7" ht="29.25" thickBot="1" x14ac:dyDescent="0.3">
      <c r="A20" s="2"/>
      <c r="B20" s="8">
        <v>45757</v>
      </c>
      <c r="C20" s="2" t="s">
        <v>32</v>
      </c>
      <c r="D20" s="5" t="s">
        <v>33</v>
      </c>
      <c r="E20" s="2"/>
      <c r="F20" s="2">
        <v>2700</v>
      </c>
      <c r="G20" s="2">
        <v>85281.34</v>
      </c>
    </row>
    <row r="21" spans="1:7" ht="29.25" thickBot="1" x14ac:dyDescent="0.3">
      <c r="A21" s="2"/>
      <c r="B21" s="8">
        <v>45758</v>
      </c>
      <c r="C21" s="2" t="s">
        <v>34</v>
      </c>
      <c r="D21" s="5" t="s">
        <v>35</v>
      </c>
      <c r="E21" s="2"/>
      <c r="F21" s="2">
        <v>11950</v>
      </c>
      <c r="G21" s="2">
        <v>97231.34</v>
      </c>
    </row>
    <row r="22" spans="1:7" ht="29.25" thickBot="1" x14ac:dyDescent="0.3">
      <c r="A22" s="2"/>
      <c r="B22" s="8">
        <v>45759</v>
      </c>
      <c r="C22" s="2" t="s">
        <v>36</v>
      </c>
      <c r="D22" s="5" t="s">
        <v>37</v>
      </c>
      <c r="E22" s="2"/>
      <c r="F22" s="2">
        <v>7700</v>
      </c>
      <c r="G22" s="2">
        <v>104931.34</v>
      </c>
    </row>
    <row r="23" spans="1:7" ht="15.75" thickBot="1" x14ac:dyDescent="0.3">
      <c r="A23" s="2"/>
      <c r="B23" s="8">
        <v>45759</v>
      </c>
      <c r="C23" s="2" t="s">
        <v>38</v>
      </c>
      <c r="D23" s="5">
        <v>457090322</v>
      </c>
      <c r="E23" s="2">
        <v>55440</v>
      </c>
      <c r="F23" s="2"/>
      <c r="G23" s="2">
        <v>49491.34</v>
      </c>
    </row>
    <row r="24" spans="1:7" ht="29.25" thickBot="1" x14ac:dyDescent="0.3">
      <c r="B24" s="10">
        <v>45760</v>
      </c>
      <c r="C24" s="11" t="s">
        <v>39</v>
      </c>
      <c r="D24" s="13" t="s">
        <v>40</v>
      </c>
      <c r="E24" s="11"/>
      <c r="F24" s="12">
        <v>9300</v>
      </c>
      <c r="G24" s="12">
        <v>58791.34</v>
      </c>
    </row>
    <row r="25" spans="1:7" ht="29.25" thickBot="1" x14ac:dyDescent="0.3">
      <c r="B25" s="10">
        <v>45762</v>
      </c>
      <c r="C25" s="11" t="s">
        <v>41</v>
      </c>
      <c r="D25" s="13" t="s">
        <v>42</v>
      </c>
      <c r="E25" s="11"/>
      <c r="F25" s="12">
        <v>28654</v>
      </c>
      <c r="G25" s="12">
        <v>87445.34</v>
      </c>
    </row>
    <row r="26" spans="1:7" ht="29.25" thickBot="1" x14ac:dyDescent="0.3">
      <c r="B26" s="10">
        <v>45762</v>
      </c>
      <c r="C26" s="11" t="s">
        <v>13</v>
      </c>
      <c r="D26" s="13">
        <v>457349594</v>
      </c>
      <c r="E26" s="12">
        <v>61332</v>
      </c>
      <c r="F26" s="11"/>
      <c r="G26" s="12">
        <v>26113.34</v>
      </c>
    </row>
    <row r="27" spans="1:7" ht="15.75" thickBot="1" x14ac:dyDescent="0.3">
      <c r="B27" s="10">
        <v>45762</v>
      </c>
      <c r="C27" s="11" t="s">
        <v>43</v>
      </c>
      <c r="D27" s="13"/>
      <c r="E27" s="11"/>
      <c r="F27" s="12">
        <v>62000</v>
      </c>
      <c r="G27" s="12">
        <v>88113.34</v>
      </c>
    </row>
    <row r="28" spans="1:7" ht="15.75" thickBot="1" x14ac:dyDescent="0.3">
      <c r="B28" s="10">
        <v>45762</v>
      </c>
      <c r="C28" s="11" t="s">
        <v>44</v>
      </c>
      <c r="D28" s="13">
        <v>457486627</v>
      </c>
      <c r="E28" s="12">
        <v>10000</v>
      </c>
      <c r="F28" s="11"/>
      <c r="G28" s="12">
        <v>78113.34</v>
      </c>
    </row>
    <row r="29" spans="1:7" ht="29.25" thickBot="1" x14ac:dyDescent="0.3">
      <c r="B29" s="10">
        <v>45763</v>
      </c>
      <c r="C29" s="11" t="s">
        <v>45</v>
      </c>
      <c r="D29" s="13" t="s">
        <v>46</v>
      </c>
      <c r="E29" s="11"/>
      <c r="F29" s="12">
        <v>9490</v>
      </c>
      <c r="G29" s="12">
        <v>87603.34</v>
      </c>
    </row>
    <row r="30" spans="1:7" ht="29.25" thickBot="1" x14ac:dyDescent="0.3">
      <c r="B30" s="10">
        <v>45764</v>
      </c>
      <c r="C30" s="11" t="s">
        <v>47</v>
      </c>
      <c r="D30" s="13" t="s">
        <v>48</v>
      </c>
      <c r="E30" s="11"/>
      <c r="F30" s="12">
        <v>12749</v>
      </c>
      <c r="G30" s="12">
        <v>100352.34</v>
      </c>
    </row>
    <row r="31" spans="1:7" ht="29.25" thickBot="1" x14ac:dyDescent="0.3">
      <c r="B31" s="10">
        <v>45764</v>
      </c>
      <c r="C31" s="11" t="s">
        <v>49</v>
      </c>
      <c r="D31" s="13" t="s">
        <v>50</v>
      </c>
      <c r="E31" s="11"/>
      <c r="F31" s="11">
        <v>390</v>
      </c>
      <c r="G31" s="12">
        <v>100742.34</v>
      </c>
    </row>
    <row r="32" spans="1:7" ht="29.25" thickBot="1" x14ac:dyDescent="0.3">
      <c r="B32" s="10">
        <v>45764</v>
      </c>
      <c r="C32" s="11" t="s">
        <v>51</v>
      </c>
      <c r="D32" s="13" t="s">
        <v>52</v>
      </c>
      <c r="E32" s="11"/>
      <c r="F32" s="11">
        <v>600</v>
      </c>
      <c r="G32" s="12">
        <v>101342.34</v>
      </c>
    </row>
    <row r="33" spans="2:7" ht="29.25" thickBot="1" x14ac:dyDescent="0.3">
      <c r="B33" s="10">
        <v>45764</v>
      </c>
      <c r="C33" s="11" t="s">
        <v>53</v>
      </c>
      <c r="D33" s="13" t="s">
        <v>54</v>
      </c>
      <c r="E33" s="11"/>
      <c r="F33" s="12">
        <v>10498</v>
      </c>
      <c r="G33" s="12">
        <v>111840.34</v>
      </c>
    </row>
    <row r="34" spans="2:7" ht="15.75" thickBot="1" x14ac:dyDescent="0.3">
      <c r="B34" s="10">
        <v>45764</v>
      </c>
      <c r="C34" s="11" t="s">
        <v>55</v>
      </c>
      <c r="D34" s="13" t="s">
        <v>56</v>
      </c>
      <c r="E34" s="12">
        <v>5000</v>
      </c>
      <c r="F34" s="11"/>
      <c r="G34" s="12">
        <v>106840.34</v>
      </c>
    </row>
    <row r="35" spans="2:7" ht="15.75" thickBot="1" x14ac:dyDescent="0.3">
      <c r="B35" s="10">
        <v>45764</v>
      </c>
      <c r="C35" s="11" t="s">
        <v>57</v>
      </c>
      <c r="D35" s="13">
        <v>457944056</v>
      </c>
      <c r="E35" s="12">
        <v>20000</v>
      </c>
      <c r="F35" s="11"/>
      <c r="G35" s="12">
        <v>86840.34</v>
      </c>
    </row>
    <row r="36" spans="2:7" ht="29.25" thickBot="1" x14ac:dyDescent="0.3">
      <c r="B36" s="10">
        <v>45765</v>
      </c>
      <c r="C36" s="11" t="s">
        <v>58</v>
      </c>
      <c r="D36" s="13" t="s">
        <v>59</v>
      </c>
      <c r="E36" s="11"/>
      <c r="F36" s="12">
        <v>5369</v>
      </c>
      <c r="G36" s="12">
        <v>92209.34</v>
      </c>
    </row>
    <row r="37" spans="2:7" ht="15.75" thickBot="1" x14ac:dyDescent="0.3">
      <c r="B37" s="10">
        <v>45765</v>
      </c>
      <c r="C37" s="11" t="s">
        <v>57</v>
      </c>
      <c r="D37" s="13">
        <v>457958694</v>
      </c>
      <c r="E37" s="12">
        <v>10000</v>
      </c>
      <c r="F37" s="11"/>
      <c r="G37" s="12">
        <v>82209.34</v>
      </c>
    </row>
    <row r="38" spans="2:7" ht="29.25" thickBot="1" x14ac:dyDescent="0.3">
      <c r="B38" s="10">
        <v>45765</v>
      </c>
      <c r="C38" s="11" t="s">
        <v>60</v>
      </c>
      <c r="D38" s="13" t="s">
        <v>61</v>
      </c>
      <c r="E38" s="11"/>
      <c r="F38" s="12">
        <v>2700</v>
      </c>
      <c r="G38" s="12">
        <v>84909.34</v>
      </c>
    </row>
    <row r="39" spans="2:7" ht="15.75" thickBot="1" x14ac:dyDescent="0.3">
      <c r="B39" s="10">
        <v>45765</v>
      </c>
      <c r="C39" s="11" t="s">
        <v>62</v>
      </c>
      <c r="D39" s="13">
        <v>458018347</v>
      </c>
      <c r="E39" s="12">
        <v>2500</v>
      </c>
      <c r="F39" s="11"/>
      <c r="G39" s="12">
        <v>82409.34</v>
      </c>
    </row>
    <row r="40" spans="2:7" ht="15.75" thickBot="1" x14ac:dyDescent="0.3">
      <c r="B40" s="10">
        <v>45765</v>
      </c>
      <c r="C40" s="11" t="s">
        <v>63</v>
      </c>
      <c r="D40" s="13">
        <v>458022296</v>
      </c>
      <c r="E40" s="12">
        <v>18000</v>
      </c>
      <c r="F40" s="11"/>
      <c r="G40" s="12">
        <v>64409.34</v>
      </c>
    </row>
    <row r="41" spans="2:7" ht="29.25" thickBot="1" x14ac:dyDescent="0.3">
      <c r="B41" s="10">
        <v>45765</v>
      </c>
      <c r="C41" s="11" t="s">
        <v>64</v>
      </c>
      <c r="D41" s="13">
        <v>458056716</v>
      </c>
      <c r="E41" s="12">
        <v>28000</v>
      </c>
      <c r="F41" s="11"/>
      <c r="G41" s="12">
        <v>36409.339999999997</v>
      </c>
    </row>
    <row r="42" spans="2:7" ht="29.25" thickBot="1" x14ac:dyDescent="0.3">
      <c r="B42" s="10">
        <v>45766</v>
      </c>
      <c r="C42" s="11" t="s">
        <v>65</v>
      </c>
      <c r="D42" s="13" t="s">
        <v>66</v>
      </c>
      <c r="E42" s="11"/>
      <c r="F42" s="12">
        <v>8050</v>
      </c>
      <c r="G42" s="12">
        <v>44459.34</v>
      </c>
    </row>
    <row r="43" spans="2:7" ht="15.75" thickBot="1" x14ac:dyDescent="0.3">
      <c r="B43" s="10">
        <v>45766</v>
      </c>
      <c r="C43" s="11" t="s">
        <v>67</v>
      </c>
      <c r="D43" s="13">
        <v>458100006</v>
      </c>
      <c r="E43" s="12">
        <v>5560</v>
      </c>
      <c r="F43" s="11"/>
      <c r="G43" s="12">
        <v>38899.339999999997</v>
      </c>
    </row>
    <row r="44" spans="2:7" ht="15.75" thickBot="1" x14ac:dyDescent="0.3">
      <c r="B44" s="10">
        <v>45766</v>
      </c>
      <c r="C44" s="11" t="s">
        <v>67</v>
      </c>
      <c r="D44" s="13">
        <v>458100203</v>
      </c>
      <c r="E44" s="12">
        <v>5800</v>
      </c>
      <c r="F44" s="11"/>
      <c r="G44" s="12">
        <v>33099.339999999997</v>
      </c>
    </row>
    <row r="45" spans="2:7" ht="29.25" thickBot="1" x14ac:dyDescent="0.3">
      <c r="B45" s="10">
        <v>45767</v>
      </c>
      <c r="C45" s="11" t="s">
        <v>68</v>
      </c>
      <c r="D45" s="13" t="s">
        <v>69</v>
      </c>
      <c r="E45" s="11"/>
      <c r="F45" s="12">
        <v>4000</v>
      </c>
      <c r="G45" s="12">
        <v>37099.339999999997</v>
      </c>
    </row>
    <row r="46" spans="2:7" ht="29.25" thickBot="1" x14ac:dyDescent="0.3">
      <c r="B46" s="10">
        <v>45769</v>
      </c>
      <c r="C46" s="11" t="s">
        <v>70</v>
      </c>
      <c r="D46" s="13" t="s">
        <v>71</v>
      </c>
      <c r="E46" s="11"/>
      <c r="F46" s="12">
        <v>16019</v>
      </c>
      <c r="G46" s="12">
        <v>53118.34</v>
      </c>
    </row>
    <row r="47" spans="2:7" ht="29.25" thickBot="1" x14ac:dyDescent="0.3">
      <c r="B47" s="10">
        <v>45770</v>
      </c>
      <c r="C47" s="11" t="s">
        <v>72</v>
      </c>
      <c r="D47" s="13" t="s">
        <v>73</v>
      </c>
      <c r="E47" s="11"/>
      <c r="F47" s="12">
        <v>10800</v>
      </c>
      <c r="G47" s="12">
        <v>63918.34</v>
      </c>
    </row>
    <row r="48" spans="2:7" ht="15.75" thickBot="1" x14ac:dyDescent="0.3">
      <c r="B48" s="10">
        <v>45770</v>
      </c>
      <c r="C48" s="11" t="s">
        <v>74</v>
      </c>
      <c r="D48" s="13">
        <v>458687599</v>
      </c>
      <c r="E48" s="12">
        <v>55440</v>
      </c>
      <c r="F48" s="11"/>
      <c r="G48" s="12">
        <v>8478.34</v>
      </c>
    </row>
    <row r="49" spans="2:7" ht="29.25" thickBot="1" x14ac:dyDescent="0.3">
      <c r="B49" s="10">
        <v>45770</v>
      </c>
      <c r="C49" s="11" t="s">
        <v>23</v>
      </c>
      <c r="D49" s="13">
        <v>511305703307</v>
      </c>
      <c r="E49" s="11"/>
      <c r="F49" s="12">
        <v>30500</v>
      </c>
      <c r="G49" s="12">
        <v>38978.339999999997</v>
      </c>
    </row>
    <row r="50" spans="2:7" ht="29.25" thickBot="1" x14ac:dyDescent="0.3">
      <c r="B50" s="10">
        <v>45770</v>
      </c>
      <c r="C50" s="11" t="s">
        <v>75</v>
      </c>
      <c r="D50" s="13" t="s">
        <v>76</v>
      </c>
      <c r="E50" s="11"/>
      <c r="F50" s="12">
        <v>18000</v>
      </c>
      <c r="G50" s="12">
        <v>56978.34</v>
      </c>
    </row>
    <row r="51" spans="2:7" ht="15.75" thickBot="1" x14ac:dyDescent="0.3">
      <c r="B51" s="10">
        <v>45770</v>
      </c>
      <c r="C51" s="11" t="s">
        <v>77</v>
      </c>
      <c r="D51" s="13">
        <v>458733118</v>
      </c>
      <c r="E51" s="12">
        <v>33080</v>
      </c>
      <c r="F51" s="11"/>
      <c r="G51" s="12">
        <v>23898.34</v>
      </c>
    </row>
    <row r="52" spans="2:7" ht="29.25" thickBot="1" x14ac:dyDescent="0.3">
      <c r="B52" s="10">
        <v>45771</v>
      </c>
      <c r="C52" s="11" t="s">
        <v>78</v>
      </c>
      <c r="D52" s="13" t="s">
        <v>79</v>
      </c>
      <c r="E52" s="11"/>
      <c r="F52" s="12">
        <v>23180</v>
      </c>
      <c r="G52" s="12">
        <v>47078.34</v>
      </c>
    </row>
    <row r="53" spans="2:7" ht="29.25" thickBot="1" x14ac:dyDescent="0.3">
      <c r="B53" s="10">
        <v>45771</v>
      </c>
      <c r="C53" s="11" t="s">
        <v>80</v>
      </c>
      <c r="D53" s="13" t="s">
        <v>81</v>
      </c>
      <c r="E53" s="11"/>
      <c r="F53" s="11">
        <v>1</v>
      </c>
      <c r="G53" s="12">
        <v>47079.34</v>
      </c>
    </row>
    <row r="54" spans="2:7" ht="29.25" thickBot="1" x14ac:dyDescent="0.3">
      <c r="B54" s="10">
        <v>45771</v>
      </c>
      <c r="C54" s="11" t="s">
        <v>82</v>
      </c>
      <c r="D54" s="13" t="s">
        <v>83</v>
      </c>
      <c r="E54" s="11"/>
      <c r="F54" s="12">
        <v>199000</v>
      </c>
      <c r="G54" s="12">
        <v>246079.34</v>
      </c>
    </row>
    <row r="55" spans="2:7" ht="29.25" thickBot="1" x14ac:dyDescent="0.3">
      <c r="B55" s="10">
        <v>45771</v>
      </c>
      <c r="C55" s="11" t="s">
        <v>84</v>
      </c>
      <c r="D55" s="13">
        <v>458928194</v>
      </c>
      <c r="E55" s="11">
        <v>1</v>
      </c>
      <c r="F55" s="11"/>
      <c r="G55" s="12">
        <v>246078.34</v>
      </c>
    </row>
    <row r="56" spans="2:7" ht="29.25" thickBot="1" x14ac:dyDescent="0.3">
      <c r="B56" s="10">
        <v>45771</v>
      </c>
      <c r="C56" s="11" t="s">
        <v>84</v>
      </c>
      <c r="D56" s="13">
        <v>458988358</v>
      </c>
      <c r="E56" s="12">
        <v>24000</v>
      </c>
      <c r="F56" s="11"/>
      <c r="G56" s="12">
        <v>222078.34</v>
      </c>
    </row>
    <row r="57" spans="2:7" ht="29.25" thickBot="1" x14ac:dyDescent="0.3">
      <c r="B57" s="10">
        <v>45772</v>
      </c>
      <c r="C57" s="11" t="s">
        <v>85</v>
      </c>
      <c r="D57" s="13" t="s">
        <v>86</v>
      </c>
      <c r="E57" s="11"/>
      <c r="F57" s="12">
        <v>4700</v>
      </c>
      <c r="G57" s="12">
        <v>226778.34</v>
      </c>
    </row>
    <row r="58" spans="2:7" ht="29.25" thickBot="1" x14ac:dyDescent="0.3">
      <c r="B58" s="10">
        <v>45772</v>
      </c>
      <c r="C58" s="11" t="s">
        <v>84</v>
      </c>
      <c r="D58" s="13">
        <v>459096832</v>
      </c>
      <c r="E58" s="12">
        <v>183500</v>
      </c>
      <c r="F58" s="11"/>
      <c r="G58" s="12">
        <v>43278.34</v>
      </c>
    </row>
    <row r="59" spans="2:7" ht="29.25" thickBot="1" x14ac:dyDescent="0.3">
      <c r="B59" s="10">
        <v>45773</v>
      </c>
      <c r="C59" s="11" t="s">
        <v>87</v>
      </c>
      <c r="D59" s="13" t="s">
        <v>88</v>
      </c>
      <c r="E59" s="11"/>
      <c r="F59" s="12">
        <v>25849</v>
      </c>
      <c r="G59" s="12">
        <v>69127.34</v>
      </c>
    </row>
    <row r="60" spans="2:7" ht="29.25" thickBot="1" x14ac:dyDescent="0.3">
      <c r="B60" s="10">
        <v>45774</v>
      </c>
      <c r="C60" s="11" t="s">
        <v>89</v>
      </c>
      <c r="D60" s="13" t="s">
        <v>90</v>
      </c>
      <c r="E60" s="11"/>
      <c r="F60" s="12">
        <v>13300</v>
      </c>
      <c r="G60" s="12">
        <v>82427.34</v>
      </c>
    </row>
    <row r="61" spans="2:7" ht="29.25" thickBot="1" x14ac:dyDescent="0.3">
      <c r="B61" s="10">
        <v>45776</v>
      </c>
      <c r="C61" s="11" t="s">
        <v>91</v>
      </c>
      <c r="D61" s="13" t="s">
        <v>92</v>
      </c>
      <c r="E61" s="11"/>
      <c r="F61" s="12">
        <v>15849</v>
      </c>
      <c r="G61" s="12">
        <v>98276.34</v>
      </c>
    </row>
    <row r="62" spans="2:7" ht="29.25" thickBot="1" x14ac:dyDescent="0.3">
      <c r="B62" s="10">
        <v>45777</v>
      </c>
      <c r="C62" s="11" t="s">
        <v>93</v>
      </c>
      <c r="D62" s="13" t="s">
        <v>94</v>
      </c>
      <c r="E62" s="11"/>
      <c r="F62" s="12">
        <v>5872</v>
      </c>
      <c r="G62" s="12">
        <v>104148.34</v>
      </c>
    </row>
    <row r="63" spans="2:7" ht="29.25" thickBot="1" x14ac:dyDescent="0.3">
      <c r="B63" s="10">
        <v>45778</v>
      </c>
      <c r="C63" s="11" t="s">
        <v>95</v>
      </c>
      <c r="D63" s="13" t="s">
        <v>96</v>
      </c>
      <c r="E63" s="11"/>
      <c r="F63" s="12">
        <v>6000</v>
      </c>
      <c r="G63" s="12">
        <v>110148.34</v>
      </c>
    </row>
    <row r="64" spans="2:7" ht="29.25" thickBot="1" x14ac:dyDescent="0.3">
      <c r="B64" s="10">
        <v>45778</v>
      </c>
      <c r="C64" s="11" t="s">
        <v>13</v>
      </c>
      <c r="D64" s="13">
        <v>460017069</v>
      </c>
      <c r="E64" s="12">
        <v>60000</v>
      </c>
      <c r="F64" s="11"/>
      <c r="G64" s="12">
        <v>50148.34</v>
      </c>
    </row>
    <row r="65" spans="2:7" ht="29.25" thickBot="1" x14ac:dyDescent="0.3">
      <c r="B65" s="10">
        <v>45780</v>
      </c>
      <c r="C65" s="11" t="s">
        <v>97</v>
      </c>
      <c r="D65" s="13" t="s">
        <v>98</v>
      </c>
      <c r="E65" s="11"/>
      <c r="F65" s="12">
        <v>20300</v>
      </c>
      <c r="G65" s="12">
        <v>70448.34</v>
      </c>
    </row>
    <row r="66" spans="2:7" ht="29.25" thickBot="1" x14ac:dyDescent="0.3">
      <c r="B66" s="10">
        <v>45780</v>
      </c>
      <c r="C66" s="11" t="s">
        <v>64</v>
      </c>
      <c r="D66" s="13">
        <v>460411915</v>
      </c>
      <c r="E66" s="12">
        <v>15000</v>
      </c>
      <c r="F66" s="11"/>
      <c r="G66" s="12">
        <v>55448.34</v>
      </c>
    </row>
    <row r="67" spans="2:7" ht="29.25" thickBot="1" x14ac:dyDescent="0.3">
      <c r="B67" s="10">
        <v>45781</v>
      </c>
      <c r="C67" s="11" t="s">
        <v>99</v>
      </c>
      <c r="D67" s="13" t="s">
        <v>100</v>
      </c>
      <c r="E67" s="11"/>
      <c r="F67" s="12">
        <v>24399</v>
      </c>
      <c r="G67" s="12">
        <v>79847.34</v>
      </c>
    </row>
    <row r="68" spans="2:7" ht="29.25" thickBot="1" x14ac:dyDescent="0.3">
      <c r="B68" s="10">
        <v>45782</v>
      </c>
      <c r="C68" s="11" t="s">
        <v>23</v>
      </c>
      <c r="D68" s="13">
        <v>512507704789</v>
      </c>
      <c r="E68" s="11"/>
      <c r="F68" s="12">
        <v>43000</v>
      </c>
      <c r="G68" s="12">
        <v>122847.34</v>
      </c>
    </row>
    <row r="69" spans="2:7" ht="29.25" thickBot="1" x14ac:dyDescent="0.3">
      <c r="B69" s="10">
        <v>45782</v>
      </c>
      <c r="C69" s="11" t="s">
        <v>101</v>
      </c>
      <c r="D69" s="13" t="s">
        <v>102</v>
      </c>
      <c r="E69" s="11"/>
      <c r="F69" s="12">
        <v>4685</v>
      </c>
      <c r="G69" s="12">
        <v>127532.34</v>
      </c>
    </row>
    <row r="70" spans="2:7" ht="29.25" thickBot="1" x14ac:dyDescent="0.3">
      <c r="B70" s="10">
        <v>45783</v>
      </c>
      <c r="C70" s="11" t="s">
        <v>103</v>
      </c>
      <c r="D70" s="13" t="s">
        <v>104</v>
      </c>
      <c r="E70" s="11"/>
      <c r="F70" s="12">
        <v>7000</v>
      </c>
      <c r="G70" s="12">
        <v>134532.34</v>
      </c>
    </row>
    <row r="71" spans="2:7" ht="29.25" thickBot="1" x14ac:dyDescent="0.3">
      <c r="B71" s="10">
        <v>45784</v>
      </c>
      <c r="C71" s="11" t="s">
        <v>105</v>
      </c>
      <c r="D71" s="13" t="s">
        <v>106</v>
      </c>
      <c r="E71" s="11"/>
      <c r="F71" s="12">
        <v>14849</v>
      </c>
      <c r="G71" s="12">
        <v>149381.34</v>
      </c>
    </row>
    <row r="72" spans="2:7" ht="29.25" thickBot="1" x14ac:dyDescent="0.3">
      <c r="B72" s="10">
        <v>45785</v>
      </c>
      <c r="C72" s="11" t="s">
        <v>107</v>
      </c>
      <c r="D72" s="13" t="s">
        <v>108</v>
      </c>
      <c r="E72" s="11"/>
      <c r="F72" s="12">
        <v>3300</v>
      </c>
      <c r="G72" s="12">
        <v>152681.34</v>
      </c>
    </row>
    <row r="73" spans="2:7" ht="29.25" thickBot="1" x14ac:dyDescent="0.3">
      <c r="B73" s="10">
        <v>45785</v>
      </c>
      <c r="C73" s="11" t="s">
        <v>13</v>
      </c>
      <c r="D73" s="13">
        <v>461544115</v>
      </c>
      <c r="E73" s="12">
        <v>50000</v>
      </c>
      <c r="F73" s="11"/>
      <c r="G73" s="12">
        <v>102681.34</v>
      </c>
    </row>
    <row r="74" spans="2:7" ht="15.75" thickBot="1" x14ac:dyDescent="0.3">
      <c r="B74" s="10">
        <v>45785</v>
      </c>
      <c r="C74" s="11" t="s">
        <v>27</v>
      </c>
      <c r="D74" s="13">
        <v>461546184</v>
      </c>
      <c r="E74" s="12">
        <v>25320</v>
      </c>
      <c r="F74" s="11"/>
      <c r="G74" s="12">
        <v>77361.34</v>
      </c>
    </row>
    <row r="75" spans="2:7" ht="15.75" thickBot="1" x14ac:dyDescent="0.3">
      <c r="B75" s="10">
        <v>45785</v>
      </c>
      <c r="C75" s="11" t="s">
        <v>27</v>
      </c>
      <c r="D75" s="13">
        <v>461546484</v>
      </c>
      <c r="E75" s="12">
        <v>24028</v>
      </c>
      <c r="F75" s="11"/>
      <c r="G75" s="12">
        <v>53333.34</v>
      </c>
    </row>
    <row r="76" spans="2:7" ht="29.25" thickBot="1" x14ac:dyDescent="0.3">
      <c r="B76" s="10">
        <v>45786</v>
      </c>
      <c r="C76" s="11" t="s">
        <v>109</v>
      </c>
      <c r="D76" s="13" t="s">
        <v>110</v>
      </c>
      <c r="E76" s="11"/>
      <c r="F76" s="12">
        <v>2700</v>
      </c>
      <c r="G76" s="12">
        <v>56033.34</v>
      </c>
    </row>
    <row r="77" spans="2:7" ht="29.25" thickBot="1" x14ac:dyDescent="0.3">
      <c r="B77" s="10">
        <v>45787</v>
      </c>
      <c r="C77" s="11" t="s">
        <v>111</v>
      </c>
      <c r="D77" s="13" t="s">
        <v>112</v>
      </c>
      <c r="E77" s="11"/>
      <c r="F77" s="12">
        <v>3000</v>
      </c>
      <c r="G77" s="12">
        <v>59033.34</v>
      </c>
    </row>
    <row r="78" spans="2:7" ht="29.25" thickBot="1" x14ac:dyDescent="0.3">
      <c r="B78" s="10">
        <v>45787</v>
      </c>
      <c r="C78" s="11" t="s">
        <v>64</v>
      </c>
      <c r="D78" s="13">
        <v>461895146</v>
      </c>
      <c r="E78" s="12">
        <v>10000</v>
      </c>
      <c r="F78" s="11"/>
      <c r="G78" s="12">
        <v>49033.34</v>
      </c>
    </row>
    <row r="79" spans="2:7" ht="29.25" thickBot="1" x14ac:dyDescent="0.3">
      <c r="B79" s="10">
        <v>45788</v>
      </c>
      <c r="C79" s="11" t="s">
        <v>113</v>
      </c>
      <c r="D79" s="13" t="s">
        <v>114</v>
      </c>
      <c r="E79" s="11"/>
      <c r="F79" s="12">
        <v>12249</v>
      </c>
      <c r="G79" s="12">
        <v>61282.34</v>
      </c>
    </row>
    <row r="80" spans="2:7" ht="29.25" thickBot="1" x14ac:dyDescent="0.3">
      <c r="B80" s="10">
        <v>45790</v>
      </c>
      <c r="C80" s="11" t="s">
        <v>115</v>
      </c>
      <c r="D80" s="13" t="s">
        <v>116</v>
      </c>
      <c r="E80" s="11"/>
      <c r="F80" s="12">
        <v>8100</v>
      </c>
      <c r="G80" s="12">
        <v>69382.34</v>
      </c>
    </row>
    <row r="81" spans="2:7" ht="29.25" thickBot="1" x14ac:dyDescent="0.3">
      <c r="B81" s="10">
        <v>45791</v>
      </c>
      <c r="C81" s="11" t="s">
        <v>117</v>
      </c>
      <c r="D81" s="13" t="s">
        <v>118</v>
      </c>
      <c r="E81" s="11"/>
      <c r="F81" s="12">
        <v>9900</v>
      </c>
      <c r="G81" s="12">
        <v>79282.34</v>
      </c>
    </row>
    <row r="82" spans="2:7" ht="15.75" thickBot="1" x14ac:dyDescent="0.3">
      <c r="B82" s="10">
        <v>45791</v>
      </c>
      <c r="C82" s="11" t="s">
        <v>119</v>
      </c>
      <c r="D82" s="13">
        <v>462660721</v>
      </c>
      <c r="E82" s="12">
        <v>55440</v>
      </c>
      <c r="F82" s="11"/>
      <c r="G82" s="12">
        <v>23842.34</v>
      </c>
    </row>
    <row r="83" spans="2:7" ht="29.25" thickBot="1" x14ac:dyDescent="0.3">
      <c r="B83" s="10">
        <v>45792</v>
      </c>
      <c r="C83" s="11" t="s">
        <v>120</v>
      </c>
      <c r="D83" s="13" t="s">
        <v>121</v>
      </c>
      <c r="E83" s="11"/>
      <c r="F83" s="12">
        <v>25449</v>
      </c>
      <c r="G83" s="12">
        <v>49291.34</v>
      </c>
    </row>
    <row r="84" spans="2:7" ht="29.25" thickBot="1" x14ac:dyDescent="0.3">
      <c r="B84" s="10">
        <v>45792</v>
      </c>
      <c r="C84" s="11" t="s">
        <v>122</v>
      </c>
      <c r="D84" s="13" t="s">
        <v>123</v>
      </c>
      <c r="E84" s="11"/>
      <c r="F84" s="12">
        <v>33260</v>
      </c>
      <c r="G84" s="12">
        <v>82551.34</v>
      </c>
    </row>
    <row r="85" spans="2:7" ht="29.25" thickBot="1" x14ac:dyDescent="0.3">
      <c r="B85" s="10">
        <v>45792</v>
      </c>
      <c r="C85" s="11" t="s">
        <v>13</v>
      </c>
      <c r="D85" s="13">
        <v>462810724</v>
      </c>
      <c r="E85" s="12">
        <v>34480</v>
      </c>
      <c r="F85" s="11"/>
      <c r="G85" s="12">
        <v>48071.34</v>
      </c>
    </row>
    <row r="86" spans="2:7" ht="29.25" thickBot="1" x14ac:dyDescent="0.3">
      <c r="B86" s="10">
        <v>45793</v>
      </c>
      <c r="C86" s="11" t="s">
        <v>124</v>
      </c>
      <c r="D86" s="13" t="s">
        <v>125</v>
      </c>
      <c r="E86" s="11"/>
      <c r="F86" s="12">
        <v>5300</v>
      </c>
      <c r="G86" s="12">
        <v>53371.34</v>
      </c>
    </row>
    <row r="87" spans="2:7" ht="29.25" thickBot="1" x14ac:dyDescent="0.3">
      <c r="B87" s="10">
        <v>45794</v>
      </c>
      <c r="C87" s="11" t="s">
        <v>126</v>
      </c>
      <c r="D87" s="13" t="s">
        <v>127</v>
      </c>
      <c r="E87" s="11"/>
      <c r="F87" s="12">
        <v>10249</v>
      </c>
      <c r="G87" s="12">
        <v>63620.34</v>
      </c>
    </row>
    <row r="88" spans="2:7" ht="15.75" thickBot="1" x14ac:dyDescent="0.3">
      <c r="B88" s="10">
        <v>45794</v>
      </c>
      <c r="C88" s="11" t="s">
        <v>128</v>
      </c>
      <c r="D88" s="13" t="s">
        <v>129</v>
      </c>
      <c r="E88" s="11"/>
      <c r="F88" s="12">
        <v>3400</v>
      </c>
      <c r="G88" s="12">
        <v>67020.34</v>
      </c>
    </row>
    <row r="89" spans="2:7" ht="29.25" thickBot="1" x14ac:dyDescent="0.3">
      <c r="B89" s="10">
        <v>45795</v>
      </c>
      <c r="C89" s="11" t="s">
        <v>130</v>
      </c>
      <c r="D89" s="13" t="s">
        <v>131</v>
      </c>
      <c r="E89" s="11"/>
      <c r="F89" s="12">
        <v>14800</v>
      </c>
      <c r="G89" s="12">
        <v>81820.34</v>
      </c>
    </row>
    <row r="90" spans="2:7" ht="29.25" thickBot="1" x14ac:dyDescent="0.3">
      <c r="B90" s="10">
        <v>45795</v>
      </c>
      <c r="C90" s="11" t="s">
        <v>132</v>
      </c>
      <c r="D90" s="13" t="s">
        <v>133</v>
      </c>
      <c r="E90" s="11"/>
      <c r="F90" s="11">
        <v>1</v>
      </c>
      <c r="G90" s="12">
        <v>81821.34</v>
      </c>
    </row>
    <row r="91" spans="2:7" ht="29.25" thickBot="1" x14ac:dyDescent="0.3">
      <c r="B91" s="10">
        <v>45795</v>
      </c>
      <c r="C91" s="11" t="s">
        <v>134</v>
      </c>
      <c r="D91" s="13" t="s">
        <v>135</v>
      </c>
      <c r="E91" s="11"/>
      <c r="F91" s="12">
        <v>2700</v>
      </c>
      <c r="G91" s="12">
        <v>84521.34</v>
      </c>
    </row>
    <row r="92" spans="2:7" ht="29.25" thickBot="1" x14ac:dyDescent="0.3">
      <c r="B92" s="10">
        <v>45796</v>
      </c>
      <c r="C92" s="11" t="s">
        <v>136</v>
      </c>
      <c r="D92" s="13">
        <v>463409964</v>
      </c>
      <c r="E92" s="12">
        <v>7532</v>
      </c>
      <c r="F92" s="11"/>
      <c r="G92" s="12">
        <v>76989.34</v>
      </c>
    </row>
    <row r="93" spans="2:7" ht="29.25" thickBot="1" x14ac:dyDescent="0.3">
      <c r="B93" s="10">
        <v>45796</v>
      </c>
      <c r="C93" s="11" t="s">
        <v>137</v>
      </c>
      <c r="D93" s="13">
        <v>463410287</v>
      </c>
      <c r="E93" s="12">
        <v>6240</v>
      </c>
      <c r="F93" s="11"/>
      <c r="G93" s="12">
        <v>70749.34</v>
      </c>
    </row>
    <row r="94" spans="2:7" ht="29.25" thickBot="1" x14ac:dyDescent="0.3">
      <c r="B94" s="10">
        <v>45796</v>
      </c>
      <c r="C94" s="11" t="s">
        <v>138</v>
      </c>
      <c r="D94" s="13" t="s">
        <v>139</v>
      </c>
      <c r="E94" s="12">
        <v>28000</v>
      </c>
      <c r="F94" s="11"/>
      <c r="G94" s="12">
        <v>42749.34</v>
      </c>
    </row>
    <row r="95" spans="2:7" ht="29.25" thickBot="1" x14ac:dyDescent="0.3">
      <c r="B95" s="10">
        <v>45797</v>
      </c>
      <c r="C95" s="11" t="s">
        <v>140</v>
      </c>
      <c r="D95" s="13" t="s">
        <v>141</v>
      </c>
      <c r="E95" s="11"/>
      <c r="F95" s="12">
        <v>6000</v>
      </c>
      <c r="G95" s="12">
        <v>48749.34</v>
      </c>
    </row>
    <row r="96" spans="2:7" ht="29.25" thickBot="1" x14ac:dyDescent="0.3">
      <c r="B96" s="10">
        <v>45798</v>
      </c>
      <c r="C96" s="11" t="s">
        <v>142</v>
      </c>
      <c r="D96" s="13" t="s">
        <v>143</v>
      </c>
      <c r="E96" s="11"/>
      <c r="F96" s="12">
        <v>13328.5</v>
      </c>
      <c r="G96" s="12">
        <v>62077.84</v>
      </c>
    </row>
    <row r="97" spans="2:7" ht="15.75" thickBot="1" x14ac:dyDescent="0.3">
      <c r="B97" s="10">
        <v>45798</v>
      </c>
      <c r="C97" s="11" t="s">
        <v>144</v>
      </c>
      <c r="D97" s="13" t="s">
        <v>145</v>
      </c>
      <c r="E97" s="12">
        <v>26503</v>
      </c>
      <c r="F97" s="11"/>
      <c r="G97" s="12">
        <v>35574.839999999997</v>
      </c>
    </row>
    <row r="98" spans="2:7" ht="29.25" thickBot="1" x14ac:dyDescent="0.3">
      <c r="B98" s="10">
        <v>45799</v>
      </c>
      <c r="C98" s="11" t="s">
        <v>23</v>
      </c>
      <c r="D98" s="13">
        <v>514207708034</v>
      </c>
      <c r="E98" s="11"/>
      <c r="F98" s="12">
        <v>21700</v>
      </c>
      <c r="G98" s="12">
        <v>57274.84</v>
      </c>
    </row>
    <row r="99" spans="2:7" ht="29.25" thickBot="1" x14ac:dyDescent="0.3">
      <c r="B99" s="10">
        <v>45800</v>
      </c>
      <c r="C99" s="11" t="s">
        <v>146</v>
      </c>
      <c r="D99" s="13" t="s">
        <v>147</v>
      </c>
      <c r="E99" s="11"/>
      <c r="F99" s="12">
        <v>4900</v>
      </c>
      <c r="G99" s="12">
        <v>62174.84</v>
      </c>
    </row>
    <row r="100" spans="2:7" ht="29.25" thickBot="1" x14ac:dyDescent="0.3">
      <c r="B100" s="10">
        <v>45800</v>
      </c>
      <c r="C100" s="11" t="s">
        <v>148</v>
      </c>
      <c r="D100" s="13" t="s">
        <v>149</v>
      </c>
      <c r="E100" s="11"/>
      <c r="F100" s="12">
        <v>90000</v>
      </c>
      <c r="G100" s="12">
        <v>152174.84</v>
      </c>
    </row>
    <row r="101" spans="2:7" ht="29.25" thickBot="1" x14ac:dyDescent="0.3">
      <c r="B101" s="10">
        <v>45800</v>
      </c>
      <c r="C101" s="11" t="s">
        <v>64</v>
      </c>
      <c r="D101" s="13">
        <v>464129686</v>
      </c>
      <c r="E101" s="12">
        <v>60000</v>
      </c>
      <c r="F101" s="11"/>
      <c r="G101" s="12">
        <v>92174.84</v>
      </c>
    </row>
    <row r="102" spans="2:7" ht="29.25" thickBot="1" x14ac:dyDescent="0.3">
      <c r="B102" s="10">
        <v>45800</v>
      </c>
      <c r="C102" s="11" t="s">
        <v>150</v>
      </c>
      <c r="D102" s="13">
        <v>464134261</v>
      </c>
      <c r="E102" s="12">
        <v>10000</v>
      </c>
      <c r="F102" s="11"/>
      <c r="G102" s="12">
        <v>82174.84</v>
      </c>
    </row>
    <row r="103" spans="2:7" ht="29.25" thickBot="1" x14ac:dyDescent="0.3">
      <c r="B103" s="10">
        <v>45800</v>
      </c>
      <c r="C103" s="11" t="s">
        <v>151</v>
      </c>
      <c r="D103" s="13" t="s">
        <v>152</v>
      </c>
      <c r="E103" s="11"/>
      <c r="F103" s="12">
        <v>2700</v>
      </c>
      <c r="G103" s="12">
        <v>84874.84</v>
      </c>
    </row>
    <row r="104" spans="2:7" ht="29.25" thickBot="1" x14ac:dyDescent="0.3">
      <c r="B104" s="10">
        <v>45801</v>
      </c>
      <c r="C104" s="11" t="s">
        <v>153</v>
      </c>
      <c r="D104" s="13" t="s">
        <v>154</v>
      </c>
      <c r="E104" s="11"/>
      <c r="F104" s="12">
        <v>8600</v>
      </c>
      <c r="G104" s="12">
        <v>93474.84</v>
      </c>
    </row>
    <row r="105" spans="2:7" ht="15.75" thickBot="1" x14ac:dyDescent="0.3">
      <c r="B105" s="10">
        <v>45801</v>
      </c>
      <c r="C105" s="11" t="s">
        <v>155</v>
      </c>
      <c r="D105" s="13">
        <v>464224649</v>
      </c>
      <c r="E105" s="12">
        <v>55440</v>
      </c>
      <c r="F105" s="11"/>
      <c r="G105" s="12">
        <v>38034.839999999997</v>
      </c>
    </row>
    <row r="106" spans="2:7" ht="29.25" thickBot="1" x14ac:dyDescent="0.3">
      <c r="B106" s="10">
        <v>45802</v>
      </c>
      <c r="C106" s="11" t="s">
        <v>156</v>
      </c>
      <c r="D106" s="13" t="s">
        <v>157</v>
      </c>
      <c r="E106" s="11"/>
      <c r="F106" s="11">
        <v>1</v>
      </c>
      <c r="G106" s="12">
        <v>38035.839999999997</v>
      </c>
    </row>
    <row r="107" spans="2:7" ht="15.75" thickBot="1" x14ac:dyDescent="0.3">
      <c r="B107" s="10">
        <v>45803</v>
      </c>
      <c r="C107" s="11" t="s">
        <v>158</v>
      </c>
      <c r="D107" s="13">
        <v>464419166</v>
      </c>
      <c r="E107" s="12">
        <v>9120</v>
      </c>
      <c r="F107" s="11"/>
      <c r="G107" s="12">
        <v>28915.84</v>
      </c>
    </row>
    <row r="108" spans="2:7" ht="29.25" thickBot="1" x14ac:dyDescent="0.3">
      <c r="B108" s="10">
        <v>45805</v>
      </c>
      <c r="C108" s="11" t="s">
        <v>159</v>
      </c>
      <c r="D108" s="13" t="s">
        <v>160</v>
      </c>
      <c r="E108" s="11"/>
      <c r="F108" s="12">
        <v>13698</v>
      </c>
      <c r="G108" s="12">
        <v>42613.84</v>
      </c>
    </row>
    <row r="109" spans="2:7" ht="29.25" thickBot="1" x14ac:dyDescent="0.3">
      <c r="B109" s="10">
        <v>45805</v>
      </c>
      <c r="C109" s="11" t="s">
        <v>161</v>
      </c>
      <c r="D109" s="13" t="s">
        <v>162</v>
      </c>
      <c r="E109" s="11"/>
      <c r="F109" s="12">
        <v>10498</v>
      </c>
      <c r="G109" s="12">
        <v>53111.839999999997</v>
      </c>
    </row>
    <row r="110" spans="2:7" ht="15.75" thickBot="1" x14ac:dyDescent="0.3">
      <c r="B110" s="10">
        <v>45805</v>
      </c>
      <c r="C110" s="11" t="s">
        <v>163</v>
      </c>
      <c r="D110" s="13" t="s">
        <v>164</v>
      </c>
      <c r="E110" s="12">
        <v>15000</v>
      </c>
      <c r="F110" s="11"/>
      <c r="G110" s="12">
        <v>38111.839999999997</v>
      </c>
    </row>
    <row r="111" spans="2:7" ht="29.25" thickBot="1" x14ac:dyDescent="0.3">
      <c r="B111" s="10">
        <v>45806</v>
      </c>
      <c r="C111" s="11" t="s">
        <v>165</v>
      </c>
      <c r="D111" s="13" t="s">
        <v>166</v>
      </c>
      <c r="E111" s="11"/>
      <c r="F111" s="12">
        <v>6100</v>
      </c>
      <c r="G111" s="12">
        <v>44211.839999999997</v>
      </c>
    </row>
    <row r="112" spans="2:7" ht="29.25" thickBot="1" x14ac:dyDescent="0.3">
      <c r="B112" s="10">
        <v>45806</v>
      </c>
      <c r="C112" s="11" t="s">
        <v>167</v>
      </c>
      <c r="D112" s="13" t="s">
        <v>168</v>
      </c>
      <c r="E112" s="11"/>
      <c r="F112" s="11">
        <v>1</v>
      </c>
      <c r="G112" s="12">
        <v>44212.84</v>
      </c>
    </row>
    <row r="113" spans="2:7" ht="15.75" thickBot="1" x14ac:dyDescent="0.3">
      <c r="B113" s="10">
        <v>45806</v>
      </c>
      <c r="C113" s="11" t="s">
        <v>169</v>
      </c>
      <c r="D113" s="13" t="s">
        <v>170</v>
      </c>
      <c r="E113" s="11"/>
      <c r="F113" s="12">
        <v>5600</v>
      </c>
      <c r="G113" s="12">
        <v>49812.84</v>
      </c>
    </row>
    <row r="114" spans="2:7" ht="29.25" thickBot="1" x14ac:dyDescent="0.3">
      <c r="B114" s="10">
        <v>45807</v>
      </c>
      <c r="C114" s="11" t="s">
        <v>171</v>
      </c>
      <c r="D114" s="13" t="s">
        <v>172</v>
      </c>
      <c r="E114" s="11"/>
      <c r="F114" s="12">
        <v>5900</v>
      </c>
      <c r="G114" s="12">
        <v>55712.84</v>
      </c>
    </row>
    <row r="115" spans="2:7" ht="29.25" thickBot="1" x14ac:dyDescent="0.3">
      <c r="B115" s="10">
        <v>45808</v>
      </c>
      <c r="C115" s="11" t="s">
        <v>173</v>
      </c>
      <c r="D115" s="13" t="s">
        <v>174</v>
      </c>
      <c r="E115" s="11"/>
      <c r="F115" s="12">
        <v>3500</v>
      </c>
      <c r="G115" s="12">
        <v>59212.84</v>
      </c>
    </row>
    <row r="116" spans="2:7" ht="15.75" thickBot="1" x14ac:dyDescent="0.3">
      <c r="B116" s="10">
        <v>45808</v>
      </c>
      <c r="C116" s="11" t="s">
        <v>175</v>
      </c>
      <c r="D116" s="13" t="s">
        <v>176</v>
      </c>
      <c r="E116" s="11">
        <v>5.9</v>
      </c>
      <c r="F116" s="11"/>
      <c r="G116" s="12">
        <v>59206.94</v>
      </c>
    </row>
    <row r="117" spans="2:7" ht="29.25" thickBot="1" x14ac:dyDescent="0.3">
      <c r="B117" s="10">
        <v>45808</v>
      </c>
      <c r="C117" s="11" t="s">
        <v>23</v>
      </c>
      <c r="D117" s="13">
        <v>515111709706</v>
      </c>
      <c r="E117" s="11"/>
      <c r="F117" s="12">
        <v>45800</v>
      </c>
      <c r="G117" s="12">
        <v>105006.94</v>
      </c>
    </row>
    <row r="118" spans="2:7" ht="29.25" thickBot="1" x14ac:dyDescent="0.3">
      <c r="B118" s="10">
        <v>45808</v>
      </c>
      <c r="C118" s="11" t="s">
        <v>23</v>
      </c>
      <c r="D118" s="13">
        <v>515111709708</v>
      </c>
      <c r="E118" s="11"/>
      <c r="F118" s="12">
        <v>1000</v>
      </c>
      <c r="G118" s="12">
        <v>106006.94</v>
      </c>
    </row>
    <row r="119" spans="2:7" ht="29.25" thickBot="1" x14ac:dyDescent="0.3">
      <c r="B119" s="10">
        <v>45808</v>
      </c>
      <c r="C119" s="11" t="s">
        <v>13</v>
      </c>
      <c r="D119" s="13">
        <v>465391683</v>
      </c>
      <c r="E119" s="12">
        <v>60000</v>
      </c>
      <c r="F119" s="11"/>
      <c r="G119" s="12">
        <v>46006.94</v>
      </c>
    </row>
    <row r="120" spans="2:7" ht="29.25" thickBot="1" x14ac:dyDescent="0.3">
      <c r="B120" s="10">
        <v>45809</v>
      </c>
      <c r="C120" s="11" t="s">
        <v>177</v>
      </c>
      <c r="D120" s="13" t="s">
        <v>178</v>
      </c>
      <c r="E120" s="11"/>
      <c r="F120" s="12">
        <v>2000</v>
      </c>
      <c r="G120" s="12">
        <v>48006.94</v>
      </c>
    </row>
    <row r="121" spans="2:7" ht="29.25" thickBot="1" x14ac:dyDescent="0.3">
      <c r="B121" s="10">
        <v>45811</v>
      </c>
      <c r="C121" s="11" t="s">
        <v>179</v>
      </c>
      <c r="D121" s="13" t="s">
        <v>180</v>
      </c>
      <c r="E121" s="11"/>
      <c r="F121" s="12">
        <v>19050</v>
      </c>
      <c r="G121" s="12">
        <v>67056.94</v>
      </c>
    </row>
    <row r="122" spans="2:7" ht="29.25" thickBot="1" x14ac:dyDescent="0.3">
      <c r="B122" s="10">
        <v>45811</v>
      </c>
      <c r="C122" s="11" t="s">
        <v>181</v>
      </c>
      <c r="D122" s="13">
        <v>465860820</v>
      </c>
      <c r="E122" s="12">
        <v>55440</v>
      </c>
      <c r="F122" s="11"/>
      <c r="G122" s="12">
        <v>11616.94</v>
      </c>
    </row>
    <row r="123" spans="2:7" ht="29.25" thickBot="1" x14ac:dyDescent="0.3">
      <c r="B123" s="10">
        <v>45812</v>
      </c>
      <c r="C123" s="11" t="s">
        <v>182</v>
      </c>
      <c r="D123" s="13" t="s">
        <v>183</v>
      </c>
      <c r="E123" s="11"/>
      <c r="F123" s="12">
        <v>10400</v>
      </c>
      <c r="G123" s="12">
        <v>22016.94</v>
      </c>
    </row>
    <row r="124" spans="2:7" ht="29.25" thickBot="1" x14ac:dyDescent="0.3">
      <c r="B124" s="10">
        <v>45813</v>
      </c>
      <c r="C124" s="11" t="s">
        <v>184</v>
      </c>
      <c r="D124" s="13" t="s">
        <v>185</v>
      </c>
      <c r="E124" s="11"/>
      <c r="F124" s="12">
        <v>6000</v>
      </c>
      <c r="G124" s="12">
        <v>28016.94</v>
      </c>
    </row>
    <row r="125" spans="2:7" ht="29.25" thickBot="1" x14ac:dyDescent="0.3">
      <c r="B125" s="10">
        <v>45814</v>
      </c>
      <c r="C125" s="11" t="s">
        <v>186</v>
      </c>
      <c r="D125" s="13" t="s">
        <v>187</v>
      </c>
      <c r="E125" s="11"/>
      <c r="F125" s="12">
        <v>4000</v>
      </c>
      <c r="G125" s="12">
        <v>32016.94</v>
      </c>
    </row>
    <row r="126" spans="2:7" ht="29.25" thickBot="1" x14ac:dyDescent="0.3">
      <c r="B126" s="10">
        <v>45815</v>
      </c>
      <c r="C126" s="11" t="s">
        <v>188</v>
      </c>
      <c r="D126" s="13" t="s">
        <v>189</v>
      </c>
      <c r="E126" s="11"/>
      <c r="F126" s="12">
        <v>6900</v>
      </c>
      <c r="G126" s="12">
        <v>38916.94</v>
      </c>
    </row>
    <row r="127" spans="2:7" ht="29.25" thickBot="1" x14ac:dyDescent="0.3">
      <c r="B127" s="10">
        <v>45816</v>
      </c>
      <c r="C127" s="11" t="s">
        <v>190</v>
      </c>
      <c r="D127" s="13" t="s">
        <v>191</v>
      </c>
      <c r="E127" s="11"/>
      <c r="F127" s="12">
        <v>2400</v>
      </c>
      <c r="G127" s="12">
        <v>41316.94</v>
      </c>
    </row>
    <row r="128" spans="2:7" ht="29.25" thickBot="1" x14ac:dyDescent="0.3">
      <c r="B128" s="10">
        <v>45817</v>
      </c>
      <c r="C128" s="11" t="s">
        <v>192</v>
      </c>
      <c r="D128" s="13" t="s">
        <v>193</v>
      </c>
      <c r="E128" s="11"/>
      <c r="F128" s="12">
        <v>40000</v>
      </c>
      <c r="G128" s="12">
        <v>81316.94</v>
      </c>
    </row>
    <row r="129" spans="2:7" ht="15.75" thickBot="1" x14ac:dyDescent="0.3">
      <c r="B129" s="10">
        <v>45817</v>
      </c>
      <c r="C129" s="11" t="s">
        <v>194</v>
      </c>
      <c r="D129" s="13">
        <v>467007693</v>
      </c>
      <c r="E129" s="12">
        <v>25320</v>
      </c>
      <c r="F129" s="11"/>
      <c r="G129" s="12">
        <v>55996.94</v>
      </c>
    </row>
    <row r="130" spans="2:7" ht="29.25" thickBot="1" x14ac:dyDescent="0.3">
      <c r="B130" s="10">
        <v>45817</v>
      </c>
      <c r="C130" s="11" t="s">
        <v>136</v>
      </c>
      <c r="D130" s="13">
        <v>467008412</v>
      </c>
      <c r="E130" s="12">
        <v>25320</v>
      </c>
      <c r="F130" s="11"/>
      <c r="G130" s="12">
        <v>30676.94</v>
      </c>
    </row>
    <row r="131" spans="2:7" ht="29.25" thickBot="1" x14ac:dyDescent="0.3">
      <c r="B131" s="10">
        <v>45817</v>
      </c>
      <c r="C131" s="11" t="s">
        <v>195</v>
      </c>
      <c r="D131" s="13" t="s">
        <v>196</v>
      </c>
      <c r="E131" s="11"/>
      <c r="F131" s="12">
        <v>30000</v>
      </c>
      <c r="G131" s="12">
        <v>60676.94</v>
      </c>
    </row>
    <row r="132" spans="2:7" ht="29.25" thickBot="1" x14ac:dyDescent="0.3">
      <c r="B132" s="10">
        <v>45817</v>
      </c>
      <c r="C132" s="11" t="s">
        <v>13</v>
      </c>
      <c r="D132" s="13">
        <v>467018192</v>
      </c>
      <c r="E132" s="12">
        <v>50000</v>
      </c>
      <c r="F132" s="11"/>
      <c r="G132" s="12">
        <v>10676.94</v>
      </c>
    </row>
    <row r="133" spans="2:7" ht="29.25" thickBot="1" x14ac:dyDescent="0.3">
      <c r="B133" s="10">
        <v>45818</v>
      </c>
      <c r="C133" s="11" t="s">
        <v>197</v>
      </c>
      <c r="D133" s="13" t="s">
        <v>198</v>
      </c>
      <c r="E133" s="11"/>
      <c r="F133" s="12">
        <v>2400</v>
      </c>
      <c r="G133" s="12">
        <v>13076.94</v>
      </c>
    </row>
    <row r="134" spans="2:7" ht="29.25" thickBot="1" x14ac:dyDescent="0.3">
      <c r="B134" s="10">
        <v>45819</v>
      </c>
      <c r="C134" s="11" t="s">
        <v>199</v>
      </c>
      <c r="D134" s="13" t="s">
        <v>200</v>
      </c>
      <c r="E134" s="11"/>
      <c r="F134" s="12">
        <v>12850</v>
      </c>
      <c r="G134" s="12">
        <v>25926.94</v>
      </c>
    </row>
    <row r="135" spans="2:7" ht="29.25" thickBot="1" x14ac:dyDescent="0.3">
      <c r="B135" s="10">
        <v>45820</v>
      </c>
      <c r="C135" s="11" t="s">
        <v>201</v>
      </c>
      <c r="D135" s="13" t="s">
        <v>202</v>
      </c>
      <c r="E135" s="11"/>
      <c r="F135" s="12">
        <v>10498</v>
      </c>
      <c r="G135" s="12">
        <v>36424.94</v>
      </c>
    </row>
    <row r="136" spans="2:7" ht="29.25" thickBot="1" x14ac:dyDescent="0.3">
      <c r="B136" s="10">
        <v>45820</v>
      </c>
      <c r="C136" s="11" t="s">
        <v>23</v>
      </c>
      <c r="D136" s="13">
        <v>516309711734</v>
      </c>
      <c r="E136" s="11"/>
      <c r="F136" s="12">
        <v>50300</v>
      </c>
      <c r="G136" s="12">
        <v>86724.94</v>
      </c>
    </row>
    <row r="137" spans="2:7" ht="15.75" thickBot="1" x14ac:dyDescent="0.3">
      <c r="B137" s="10">
        <v>45820</v>
      </c>
      <c r="C137" s="11" t="s">
        <v>203</v>
      </c>
      <c r="D137" s="13">
        <v>467693149</v>
      </c>
      <c r="E137" s="12">
        <v>55440</v>
      </c>
      <c r="F137" s="11"/>
      <c r="G137" s="12">
        <v>31284.94</v>
      </c>
    </row>
    <row r="138" spans="2:7" ht="29.25" thickBot="1" x14ac:dyDescent="0.3">
      <c r="B138" s="10">
        <v>45820</v>
      </c>
      <c r="C138" s="11" t="s">
        <v>204</v>
      </c>
      <c r="D138" s="13" t="s">
        <v>205</v>
      </c>
      <c r="E138" s="11"/>
      <c r="F138" s="12">
        <v>5300</v>
      </c>
      <c r="G138" s="12">
        <v>36584.94</v>
      </c>
    </row>
    <row r="139" spans="2:7" ht="29.25" thickBot="1" x14ac:dyDescent="0.3">
      <c r="B139" s="10">
        <v>45821</v>
      </c>
      <c r="C139" s="11" t="s">
        <v>206</v>
      </c>
      <c r="D139" s="13" t="s">
        <v>207</v>
      </c>
      <c r="E139" s="11"/>
      <c r="F139" s="12">
        <v>16199</v>
      </c>
      <c r="G139" s="12">
        <v>52783.94</v>
      </c>
    </row>
    <row r="140" spans="2:7" ht="29.25" thickBot="1" x14ac:dyDescent="0.3">
      <c r="B140" s="10">
        <v>45821</v>
      </c>
      <c r="C140" s="11" t="s">
        <v>208</v>
      </c>
      <c r="D140" s="13" t="s">
        <v>209</v>
      </c>
      <c r="E140" s="11"/>
      <c r="F140" s="12">
        <v>4000</v>
      </c>
      <c r="G140" s="12">
        <v>56783.94</v>
      </c>
    </row>
    <row r="141" spans="2:7" ht="29.25" thickBot="1" x14ac:dyDescent="0.3">
      <c r="B141" s="10">
        <v>45822</v>
      </c>
      <c r="C141" s="11" t="s">
        <v>210</v>
      </c>
      <c r="D141" s="13" t="s">
        <v>211</v>
      </c>
      <c r="E141" s="11"/>
      <c r="F141" s="12">
        <v>13900</v>
      </c>
      <c r="G141" s="12">
        <v>70683.94</v>
      </c>
    </row>
    <row r="142" spans="2:7" ht="29.25" thickBot="1" x14ac:dyDescent="0.3">
      <c r="B142" s="10">
        <v>45823</v>
      </c>
      <c r="C142" s="11" t="s">
        <v>212</v>
      </c>
      <c r="D142" s="13" t="s">
        <v>213</v>
      </c>
      <c r="E142" s="11"/>
      <c r="F142" s="12">
        <v>5600</v>
      </c>
      <c r="G142" s="12">
        <v>76283.94</v>
      </c>
    </row>
    <row r="143" spans="2:7" ht="29.25" thickBot="1" x14ac:dyDescent="0.3">
      <c r="B143" s="10">
        <v>45824</v>
      </c>
      <c r="C143" s="11" t="s">
        <v>13</v>
      </c>
      <c r="D143" s="13">
        <v>468182379</v>
      </c>
      <c r="E143" s="12">
        <v>71026</v>
      </c>
      <c r="F143" s="11"/>
      <c r="G143" s="12">
        <v>5257.94</v>
      </c>
    </row>
    <row r="144" spans="2:7" ht="29.25" thickBot="1" x14ac:dyDescent="0.3">
      <c r="B144" s="10">
        <v>45824</v>
      </c>
      <c r="C144" s="11" t="s">
        <v>214</v>
      </c>
      <c r="D144" s="13" t="s">
        <v>215</v>
      </c>
      <c r="E144" s="11"/>
      <c r="F144" s="12">
        <v>5900</v>
      </c>
      <c r="G144" s="12">
        <v>11157.94</v>
      </c>
    </row>
    <row r="145" spans="2:7" ht="29.25" thickBot="1" x14ac:dyDescent="0.3">
      <c r="B145" s="10">
        <v>45825</v>
      </c>
      <c r="C145" s="11" t="s">
        <v>216</v>
      </c>
      <c r="D145" s="13" t="s">
        <v>217</v>
      </c>
      <c r="E145" s="11"/>
      <c r="F145" s="12">
        <v>15968.5</v>
      </c>
      <c r="G145" s="12">
        <v>27126.44</v>
      </c>
    </row>
    <row r="146" spans="2:7" ht="29.25" thickBot="1" x14ac:dyDescent="0.3">
      <c r="B146" s="10">
        <v>45827</v>
      </c>
      <c r="C146" s="11" t="s">
        <v>218</v>
      </c>
      <c r="D146" s="13" t="s">
        <v>219</v>
      </c>
      <c r="E146" s="11"/>
      <c r="F146" s="12">
        <v>2700</v>
      </c>
      <c r="G146" s="12">
        <v>29826.44</v>
      </c>
    </row>
    <row r="147" spans="2:7" ht="29.25" thickBot="1" x14ac:dyDescent="0.3">
      <c r="B147" s="10">
        <v>45828</v>
      </c>
      <c r="C147" s="11" t="s">
        <v>220</v>
      </c>
      <c r="D147" s="13" t="s">
        <v>221</v>
      </c>
      <c r="E147" s="11"/>
      <c r="F147" s="12">
        <v>8100</v>
      </c>
      <c r="G147" s="12">
        <v>37926.44</v>
      </c>
    </row>
    <row r="148" spans="2:7" ht="29.25" thickBot="1" x14ac:dyDescent="0.3">
      <c r="B148" s="10">
        <v>45828</v>
      </c>
      <c r="C148" s="11" t="s">
        <v>222</v>
      </c>
      <c r="D148" s="13" t="s">
        <v>223</v>
      </c>
      <c r="E148" s="11"/>
      <c r="F148" s="12">
        <v>5900</v>
      </c>
      <c r="G148" s="12">
        <v>43826.44</v>
      </c>
    </row>
    <row r="149" spans="2:7" ht="29.25" thickBot="1" x14ac:dyDescent="0.3">
      <c r="B149" s="10">
        <v>45828</v>
      </c>
      <c r="C149" s="11" t="s">
        <v>137</v>
      </c>
      <c r="D149" s="13">
        <v>469069784</v>
      </c>
      <c r="E149" s="12">
        <v>3360</v>
      </c>
      <c r="F149" s="11"/>
      <c r="G149" s="12">
        <v>40466.44</v>
      </c>
    </row>
    <row r="150" spans="2:7" ht="29.25" thickBot="1" x14ac:dyDescent="0.3">
      <c r="B150" s="10">
        <v>45828</v>
      </c>
      <c r="C150" s="11" t="s">
        <v>136</v>
      </c>
      <c r="D150" s="13">
        <v>469069979</v>
      </c>
      <c r="E150" s="12">
        <v>6000</v>
      </c>
      <c r="F150" s="11"/>
      <c r="G150" s="12">
        <v>34466.44</v>
      </c>
    </row>
    <row r="151" spans="2:7" ht="29.25" thickBot="1" x14ac:dyDescent="0.3">
      <c r="B151" s="10">
        <v>45829</v>
      </c>
      <c r="C151" s="11" t="s">
        <v>224</v>
      </c>
      <c r="D151" s="13" t="s">
        <v>225</v>
      </c>
      <c r="E151" s="11"/>
      <c r="F151" s="12">
        <v>2000</v>
      </c>
      <c r="G151" s="12">
        <v>36466.44</v>
      </c>
    </row>
    <row r="152" spans="2:7" ht="29.25" thickBot="1" x14ac:dyDescent="0.3">
      <c r="B152" s="10">
        <v>45829</v>
      </c>
      <c r="C152" s="11" t="s">
        <v>226</v>
      </c>
      <c r="D152" s="13" t="s">
        <v>227</v>
      </c>
      <c r="E152" s="11"/>
      <c r="F152" s="12">
        <v>25900</v>
      </c>
      <c r="G152" s="12">
        <v>62366.44</v>
      </c>
    </row>
    <row r="153" spans="2:7" ht="15.75" thickBot="1" x14ac:dyDescent="0.3">
      <c r="B153" s="10">
        <v>45829</v>
      </c>
      <c r="C153" s="11" t="s">
        <v>228</v>
      </c>
      <c r="D153" s="13">
        <v>469191337</v>
      </c>
      <c r="E153" s="12">
        <v>55440</v>
      </c>
      <c r="F153" s="11"/>
      <c r="G153" s="12">
        <v>6926.44</v>
      </c>
    </row>
    <row r="154" spans="2:7" ht="29.25" thickBot="1" x14ac:dyDescent="0.3">
      <c r="B154" s="10">
        <v>45830</v>
      </c>
      <c r="C154" s="11" t="s">
        <v>229</v>
      </c>
      <c r="D154" s="13" t="s">
        <v>230</v>
      </c>
      <c r="E154" s="11"/>
      <c r="F154" s="12">
        <v>13049</v>
      </c>
      <c r="G154" s="12">
        <v>19975.439999999999</v>
      </c>
    </row>
    <row r="155" spans="2:7" ht="29.25" thickBot="1" x14ac:dyDescent="0.3">
      <c r="B155" s="10">
        <v>45831</v>
      </c>
      <c r="C155" s="11" t="s">
        <v>231</v>
      </c>
      <c r="D155" s="13" t="s">
        <v>232</v>
      </c>
      <c r="E155" s="11"/>
      <c r="F155" s="12">
        <v>10498</v>
      </c>
      <c r="G155" s="12">
        <v>30473.439999999999</v>
      </c>
    </row>
    <row r="156" spans="2:7" ht="29.25" thickBot="1" x14ac:dyDescent="0.3">
      <c r="B156" s="10">
        <v>45833</v>
      </c>
      <c r="C156" s="11" t="s">
        <v>233</v>
      </c>
      <c r="D156" s="13" t="s">
        <v>234</v>
      </c>
      <c r="E156" s="11"/>
      <c r="F156" s="12">
        <v>8200</v>
      </c>
      <c r="G156" s="12">
        <v>38673.440000000002</v>
      </c>
    </row>
    <row r="157" spans="2:7" ht="15.75" thickBot="1" x14ac:dyDescent="0.3">
      <c r="B157" s="10">
        <v>45833</v>
      </c>
      <c r="C157" s="11" t="s">
        <v>235</v>
      </c>
      <c r="D157" s="13">
        <v>469773676</v>
      </c>
      <c r="E157" s="12">
        <v>19040</v>
      </c>
      <c r="F157" s="11"/>
      <c r="G157" s="12">
        <v>19633.439999999999</v>
      </c>
    </row>
    <row r="158" spans="2:7" ht="29.25" thickBot="1" x14ac:dyDescent="0.3">
      <c r="B158" s="10">
        <v>45834</v>
      </c>
      <c r="C158" s="11" t="s">
        <v>236</v>
      </c>
      <c r="D158" s="13" t="s">
        <v>237</v>
      </c>
      <c r="E158" s="11"/>
      <c r="F158" s="12">
        <v>16249</v>
      </c>
      <c r="G158" s="12">
        <v>35882.44</v>
      </c>
    </row>
    <row r="159" spans="2:7" ht="29.25" thickBot="1" x14ac:dyDescent="0.3">
      <c r="B159" s="10">
        <v>45835</v>
      </c>
      <c r="C159" s="11" t="s">
        <v>238</v>
      </c>
      <c r="D159" s="13" t="s">
        <v>239</v>
      </c>
      <c r="E159" s="11"/>
      <c r="F159" s="12">
        <v>11450</v>
      </c>
      <c r="G159" s="12">
        <v>47332.44</v>
      </c>
    </row>
    <row r="160" spans="2:7" ht="29.25" thickBot="1" x14ac:dyDescent="0.3">
      <c r="B160" s="10">
        <v>45836</v>
      </c>
      <c r="C160" s="11" t="s">
        <v>240</v>
      </c>
      <c r="D160" s="13" t="s">
        <v>241</v>
      </c>
      <c r="E160" s="11"/>
      <c r="F160" s="12">
        <v>18500</v>
      </c>
      <c r="G160" s="12">
        <v>65832.44</v>
      </c>
    </row>
    <row r="161" spans="2:7" ht="29.25" thickBot="1" x14ac:dyDescent="0.3">
      <c r="B161" s="10">
        <v>45836</v>
      </c>
      <c r="C161" s="11" t="s">
        <v>242</v>
      </c>
      <c r="D161" s="13" t="s">
        <v>243</v>
      </c>
      <c r="E161" s="11"/>
      <c r="F161" s="12">
        <v>5400</v>
      </c>
      <c r="G161" s="12">
        <v>71232.44</v>
      </c>
    </row>
    <row r="162" spans="2:7" ht="29.25" thickBot="1" x14ac:dyDescent="0.3">
      <c r="B162" s="10">
        <v>45837</v>
      </c>
      <c r="C162" s="11" t="s">
        <v>244</v>
      </c>
      <c r="D162" s="13" t="s">
        <v>245</v>
      </c>
      <c r="E162" s="11"/>
      <c r="F162" s="12">
        <v>8575</v>
      </c>
      <c r="G162" s="12">
        <v>79807.44</v>
      </c>
    </row>
    <row r="163" spans="2:7" ht="15.75" thickBot="1" x14ac:dyDescent="0.3">
      <c r="B163" s="10">
        <v>45837</v>
      </c>
      <c r="C163" s="11" t="s">
        <v>246</v>
      </c>
      <c r="D163" s="13">
        <v>470321489</v>
      </c>
      <c r="E163" s="12">
        <v>31000</v>
      </c>
      <c r="F163" s="11"/>
      <c r="G163" s="12">
        <v>48807.44</v>
      </c>
    </row>
    <row r="164" spans="2:7" ht="29.25" thickBot="1" x14ac:dyDescent="0.3">
      <c r="B164" s="10">
        <v>45838</v>
      </c>
      <c r="C164" s="11" t="s">
        <v>247</v>
      </c>
      <c r="D164" s="13">
        <v>470529252</v>
      </c>
      <c r="E164" s="12">
        <v>2500</v>
      </c>
      <c r="F164" s="11"/>
      <c r="G164" s="12">
        <v>46307.44</v>
      </c>
    </row>
    <row r="165" spans="2:7" ht="29.25" thickBot="1" x14ac:dyDescent="0.3">
      <c r="B165" s="10">
        <v>45839</v>
      </c>
      <c r="C165" s="11" t="s">
        <v>248</v>
      </c>
      <c r="D165" s="13" t="s">
        <v>249</v>
      </c>
      <c r="E165" s="11"/>
      <c r="F165" s="12">
        <v>7700</v>
      </c>
      <c r="G165" s="12">
        <v>54007.44</v>
      </c>
    </row>
    <row r="166" spans="2:7" ht="29.25" thickBot="1" x14ac:dyDescent="0.3">
      <c r="B166" s="10">
        <v>45839</v>
      </c>
      <c r="C166" s="11" t="s">
        <v>250</v>
      </c>
      <c r="D166" s="13" t="s">
        <v>251</v>
      </c>
      <c r="E166" s="11"/>
      <c r="F166" s="12">
        <v>2000</v>
      </c>
      <c r="G166" s="12">
        <v>56007.44</v>
      </c>
    </row>
    <row r="167" spans="2:7" ht="29.25" thickBot="1" x14ac:dyDescent="0.3">
      <c r="B167" s="10">
        <v>45840</v>
      </c>
      <c r="C167" s="11" t="s">
        <v>252</v>
      </c>
      <c r="D167" s="13" t="s">
        <v>253</v>
      </c>
      <c r="E167" s="11"/>
      <c r="F167" s="12">
        <v>8000</v>
      </c>
      <c r="G167" s="12">
        <v>64007.44</v>
      </c>
    </row>
    <row r="168" spans="2:7" ht="29.25" thickBot="1" x14ac:dyDescent="0.3">
      <c r="B168" s="10">
        <v>45840</v>
      </c>
      <c r="C168" s="11" t="s">
        <v>13</v>
      </c>
      <c r="D168" s="13">
        <v>470970389</v>
      </c>
      <c r="E168" s="12">
        <v>50000</v>
      </c>
      <c r="F168" s="11"/>
      <c r="G168" s="12">
        <v>14007.44</v>
      </c>
    </row>
    <row r="169" spans="2:7" ht="29.25" thickBot="1" x14ac:dyDescent="0.3">
      <c r="B169" s="10">
        <v>45840</v>
      </c>
      <c r="C169" s="11" t="s">
        <v>23</v>
      </c>
      <c r="D169" s="13">
        <v>518311715287</v>
      </c>
      <c r="E169" s="11"/>
      <c r="F169" s="12">
        <v>22000</v>
      </c>
      <c r="G169" s="12">
        <v>36007.440000000002</v>
      </c>
    </row>
    <row r="170" spans="2:7" ht="29.25" thickBot="1" x14ac:dyDescent="0.3">
      <c r="B170" s="10">
        <v>45841</v>
      </c>
      <c r="C170" s="11" t="s">
        <v>254</v>
      </c>
      <c r="D170" s="13" t="s">
        <v>255</v>
      </c>
      <c r="E170" s="11"/>
      <c r="F170" s="12">
        <v>5900</v>
      </c>
      <c r="G170" s="12">
        <v>41907.440000000002</v>
      </c>
    </row>
    <row r="171" spans="2:7" ht="29.25" thickBot="1" x14ac:dyDescent="0.3">
      <c r="B171" s="10">
        <v>45842</v>
      </c>
      <c r="C171" s="11" t="s">
        <v>256</v>
      </c>
      <c r="D171" s="13" t="s">
        <v>257</v>
      </c>
      <c r="E171" s="11"/>
      <c r="F171" s="12">
        <v>12500</v>
      </c>
      <c r="G171" s="12">
        <v>54407.44</v>
      </c>
    </row>
    <row r="172" spans="2:7" ht="15.75" thickBot="1" x14ac:dyDescent="0.3">
      <c r="B172" s="10">
        <v>45842</v>
      </c>
      <c r="C172" s="11" t="s">
        <v>258</v>
      </c>
      <c r="D172" s="13" t="s">
        <v>259</v>
      </c>
      <c r="E172" s="11"/>
      <c r="F172" s="12">
        <v>6000</v>
      </c>
      <c r="G172" s="12">
        <v>60407.44</v>
      </c>
    </row>
    <row r="173" spans="2:7" ht="29.25" thickBot="1" x14ac:dyDescent="0.3">
      <c r="B173" s="10">
        <v>45843</v>
      </c>
      <c r="C173" s="11" t="s">
        <v>260</v>
      </c>
      <c r="D173" s="13" t="s">
        <v>261</v>
      </c>
      <c r="E173" s="11"/>
      <c r="F173" s="12">
        <v>5041.3</v>
      </c>
      <c r="G173" s="12">
        <v>65448.74</v>
      </c>
    </row>
    <row r="174" spans="2:7" ht="29.25" thickBot="1" x14ac:dyDescent="0.3">
      <c r="B174" s="10">
        <v>45843</v>
      </c>
      <c r="C174" s="11" t="s">
        <v>262</v>
      </c>
      <c r="D174" s="13" t="s">
        <v>263</v>
      </c>
      <c r="E174" s="11"/>
      <c r="F174" s="12">
        <v>5249</v>
      </c>
      <c r="G174" s="12">
        <v>70697.740000000005</v>
      </c>
    </row>
    <row r="175" spans="2:7" ht="29.25" thickBot="1" x14ac:dyDescent="0.3">
      <c r="B175" s="10">
        <v>45844</v>
      </c>
      <c r="C175" s="11" t="s">
        <v>264</v>
      </c>
      <c r="D175" s="13" t="s">
        <v>265</v>
      </c>
      <c r="E175" s="11"/>
      <c r="F175" s="12">
        <v>23947</v>
      </c>
      <c r="G175" s="12">
        <v>94644.74</v>
      </c>
    </row>
    <row r="176" spans="2:7" ht="29.25" thickBot="1" x14ac:dyDescent="0.3">
      <c r="B176" s="10">
        <v>45846</v>
      </c>
      <c r="C176" s="11" t="s">
        <v>266</v>
      </c>
      <c r="D176" s="13" t="s">
        <v>267</v>
      </c>
      <c r="E176" s="11"/>
      <c r="F176" s="12">
        <v>16000</v>
      </c>
      <c r="G176" s="12">
        <v>110644.74</v>
      </c>
    </row>
    <row r="177" spans="2:7" ht="15.75" thickBot="1" x14ac:dyDescent="0.3">
      <c r="B177" s="10">
        <v>45846</v>
      </c>
      <c r="C177" s="11" t="s">
        <v>268</v>
      </c>
      <c r="D177" s="13">
        <v>472149685</v>
      </c>
      <c r="E177" s="12">
        <v>55440</v>
      </c>
      <c r="F177" s="11"/>
      <c r="G177" s="12">
        <v>55204.74</v>
      </c>
    </row>
    <row r="178" spans="2:7" ht="29.25" thickBot="1" x14ac:dyDescent="0.3">
      <c r="B178" s="10">
        <v>45847</v>
      </c>
      <c r="C178" s="11" t="s">
        <v>269</v>
      </c>
      <c r="D178" s="13" t="s">
        <v>270</v>
      </c>
      <c r="E178" s="11"/>
      <c r="F178" s="12">
        <v>2900</v>
      </c>
      <c r="G178" s="12">
        <v>58104.74</v>
      </c>
    </row>
    <row r="179" spans="2:7" ht="29.25" thickBot="1" x14ac:dyDescent="0.3">
      <c r="B179" s="10">
        <v>45848</v>
      </c>
      <c r="C179" s="11" t="s">
        <v>271</v>
      </c>
      <c r="D179" s="13" t="s">
        <v>272</v>
      </c>
      <c r="E179" s="11"/>
      <c r="F179" s="12">
        <v>4800</v>
      </c>
      <c r="G179" s="12">
        <v>62904.74</v>
      </c>
    </row>
    <row r="180" spans="2:7" ht="29.25" thickBot="1" x14ac:dyDescent="0.3">
      <c r="B180" s="10">
        <v>45848</v>
      </c>
      <c r="C180" s="11" t="s">
        <v>137</v>
      </c>
      <c r="D180" s="13">
        <v>472605926</v>
      </c>
      <c r="E180" s="12">
        <v>25320</v>
      </c>
      <c r="F180" s="11"/>
      <c r="G180" s="12">
        <v>37584.74</v>
      </c>
    </row>
    <row r="181" spans="2:7" ht="29.25" thickBot="1" x14ac:dyDescent="0.3">
      <c r="B181" s="10">
        <v>45848</v>
      </c>
      <c r="C181" s="11" t="s">
        <v>136</v>
      </c>
      <c r="D181" s="13">
        <v>472606390</v>
      </c>
      <c r="E181" s="12">
        <v>25320</v>
      </c>
      <c r="F181" s="11"/>
      <c r="G181" s="12">
        <v>12264.74</v>
      </c>
    </row>
    <row r="182" spans="2:7" ht="29.25" thickBot="1" x14ac:dyDescent="0.3">
      <c r="B182" s="10">
        <v>45848</v>
      </c>
      <c r="C182" s="11" t="s">
        <v>273</v>
      </c>
      <c r="D182" s="13">
        <v>472619997</v>
      </c>
      <c r="E182" s="12">
        <v>8800</v>
      </c>
      <c r="F182" s="11"/>
      <c r="G182" s="12">
        <v>3464.74</v>
      </c>
    </row>
    <row r="183" spans="2:7" ht="29.25" thickBot="1" x14ac:dyDescent="0.3">
      <c r="B183" s="10">
        <v>45849</v>
      </c>
      <c r="C183" s="11" t="s">
        <v>274</v>
      </c>
      <c r="D183" s="13" t="s">
        <v>275</v>
      </c>
      <c r="E183" s="11"/>
      <c r="F183" s="12">
        <v>14949</v>
      </c>
      <c r="G183" s="12">
        <v>18413.740000000002</v>
      </c>
    </row>
    <row r="184" spans="2:7" ht="29.25" thickBot="1" x14ac:dyDescent="0.3">
      <c r="B184" s="10">
        <v>45850</v>
      </c>
      <c r="C184" s="11" t="s">
        <v>276</v>
      </c>
      <c r="D184" s="13" t="s">
        <v>277</v>
      </c>
      <c r="E184" s="11"/>
      <c r="F184" s="12">
        <v>2500</v>
      </c>
      <c r="G184" s="12">
        <v>20913.740000000002</v>
      </c>
    </row>
    <row r="185" spans="2:7" ht="15.75" thickBot="1" x14ac:dyDescent="0.3">
      <c r="B185" s="10">
        <v>45850</v>
      </c>
      <c r="C185" s="11" t="s">
        <v>278</v>
      </c>
      <c r="D185" s="13">
        <v>473041158</v>
      </c>
      <c r="E185" s="12">
        <v>9400</v>
      </c>
      <c r="F185" s="11"/>
      <c r="G185" s="12">
        <v>11513.74</v>
      </c>
    </row>
    <row r="186" spans="2:7" ht="29.25" thickBot="1" x14ac:dyDescent="0.3">
      <c r="B186" s="10">
        <v>45850</v>
      </c>
      <c r="C186" s="11" t="s">
        <v>279</v>
      </c>
      <c r="D186" s="13" t="s">
        <v>280</v>
      </c>
      <c r="E186" s="11"/>
      <c r="F186" s="12">
        <v>5500</v>
      </c>
      <c r="G186" s="12">
        <v>17013.740000000002</v>
      </c>
    </row>
    <row r="187" spans="2:7" ht="29.25" thickBot="1" x14ac:dyDescent="0.3">
      <c r="B187" s="10">
        <v>45850</v>
      </c>
      <c r="C187" s="11" t="s">
        <v>281</v>
      </c>
      <c r="D187" s="13" t="s">
        <v>282</v>
      </c>
      <c r="E187" s="11"/>
      <c r="F187" s="12">
        <v>21700</v>
      </c>
      <c r="G187" s="12">
        <v>38713.74</v>
      </c>
    </row>
    <row r="188" spans="2:7" ht="29.25" thickBot="1" x14ac:dyDescent="0.3">
      <c r="B188" s="10">
        <v>45851</v>
      </c>
      <c r="C188" s="11" t="s">
        <v>283</v>
      </c>
      <c r="D188" s="13" t="s">
        <v>284</v>
      </c>
      <c r="E188" s="11"/>
      <c r="F188" s="12">
        <v>18350</v>
      </c>
      <c r="G188" s="12">
        <v>57063.74</v>
      </c>
    </row>
    <row r="189" spans="2:7" ht="15.75" thickBot="1" x14ac:dyDescent="0.3">
      <c r="B189" s="10">
        <v>45852</v>
      </c>
      <c r="C189" s="11" t="s">
        <v>285</v>
      </c>
      <c r="D189" s="13">
        <v>473297010</v>
      </c>
      <c r="E189" s="12">
        <v>50527</v>
      </c>
      <c r="F189" s="11"/>
      <c r="G189" s="12">
        <v>6536.74</v>
      </c>
    </row>
    <row r="190" spans="2:7" ht="15.75" thickBot="1" x14ac:dyDescent="0.3">
      <c r="B190" s="10">
        <v>45853</v>
      </c>
      <c r="C190" s="11" t="s">
        <v>286</v>
      </c>
      <c r="D190" s="13" t="s">
        <v>287</v>
      </c>
      <c r="E190" s="11"/>
      <c r="F190" s="12">
        <v>2000</v>
      </c>
      <c r="G190" s="12">
        <v>8536.74</v>
      </c>
    </row>
    <row r="191" spans="2:7" ht="29.25" thickBot="1" x14ac:dyDescent="0.3">
      <c r="B191" s="10">
        <v>45853</v>
      </c>
      <c r="C191" s="11" t="s">
        <v>288</v>
      </c>
      <c r="D191" s="13" t="s">
        <v>289</v>
      </c>
      <c r="E191" s="11"/>
      <c r="F191" s="11">
        <v>700</v>
      </c>
      <c r="G191" s="12">
        <v>9236.74</v>
      </c>
    </row>
    <row r="192" spans="2:7" ht="29.25" thickBot="1" x14ac:dyDescent="0.3">
      <c r="B192" s="10">
        <v>45854</v>
      </c>
      <c r="C192" s="11" t="s">
        <v>290</v>
      </c>
      <c r="D192" s="13" t="s">
        <v>291</v>
      </c>
      <c r="E192" s="11"/>
      <c r="F192" s="12">
        <v>14524.86</v>
      </c>
      <c r="G192" s="12">
        <v>23761.599999999999</v>
      </c>
    </row>
    <row r="193" spans="2:7" ht="29.25" thickBot="1" x14ac:dyDescent="0.3">
      <c r="B193" s="10">
        <v>45855</v>
      </c>
      <c r="C193" s="11" t="s">
        <v>292</v>
      </c>
      <c r="D193" s="13" t="s">
        <v>293</v>
      </c>
      <c r="E193" s="11"/>
      <c r="F193" s="12">
        <v>14650.69</v>
      </c>
      <c r="G193" s="12">
        <v>38412.29</v>
      </c>
    </row>
    <row r="194" spans="2:7" ht="29.25" thickBot="1" x14ac:dyDescent="0.3">
      <c r="B194" s="10">
        <v>45855</v>
      </c>
      <c r="C194" s="11" t="s">
        <v>294</v>
      </c>
      <c r="D194" s="13" t="s">
        <v>295</v>
      </c>
      <c r="E194" s="11"/>
      <c r="F194" s="12">
        <v>20000</v>
      </c>
      <c r="G194" s="12">
        <v>58412.29</v>
      </c>
    </row>
    <row r="195" spans="2:7" ht="15.75" thickBot="1" x14ac:dyDescent="0.3">
      <c r="B195" s="10">
        <v>45855</v>
      </c>
      <c r="C195" s="11" t="s">
        <v>296</v>
      </c>
      <c r="D195" s="13">
        <v>473805295</v>
      </c>
      <c r="E195" s="12">
        <v>50000</v>
      </c>
      <c r="F195" s="11"/>
      <c r="G195" s="12">
        <v>8412.2900000000009</v>
      </c>
    </row>
    <row r="196" spans="2:7" ht="29.25" thickBot="1" x14ac:dyDescent="0.3">
      <c r="B196" s="10">
        <v>45856</v>
      </c>
      <c r="C196" s="11" t="s">
        <v>297</v>
      </c>
      <c r="D196" s="13" t="s">
        <v>298</v>
      </c>
      <c r="E196" s="11"/>
      <c r="F196" s="12">
        <v>7400</v>
      </c>
      <c r="G196" s="12">
        <v>15812.29</v>
      </c>
    </row>
    <row r="197" spans="2:7" ht="29.25" thickBot="1" x14ac:dyDescent="0.3">
      <c r="B197" s="10">
        <v>45856</v>
      </c>
      <c r="C197" s="11" t="s">
        <v>299</v>
      </c>
      <c r="D197" s="13" t="s">
        <v>300</v>
      </c>
      <c r="E197" s="11"/>
      <c r="F197" s="12">
        <v>4700</v>
      </c>
      <c r="G197" s="12">
        <v>20512.29</v>
      </c>
    </row>
    <row r="198" spans="2:7" ht="15.75" thickBot="1" x14ac:dyDescent="0.3">
      <c r="B198" s="10">
        <v>45857</v>
      </c>
      <c r="C198" s="11" t="s">
        <v>301</v>
      </c>
      <c r="D198" s="13"/>
      <c r="E198" s="11"/>
      <c r="F198" s="12">
        <v>3000</v>
      </c>
      <c r="G198" s="12">
        <v>23512.29</v>
      </c>
    </row>
    <row r="199" spans="2:7" ht="29.25" thickBot="1" x14ac:dyDescent="0.3">
      <c r="B199" s="10">
        <v>45857</v>
      </c>
      <c r="C199" s="11" t="s">
        <v>23</v>
      </c>
      <c r="D199" s="13">
        <v>520008718461</v>
      </c>
      <c r="E199" s="11"/>
      <c r="F199" s="12">
        <v>48000</v>
      </c>
      <c r="G199" s="12">
        <v>71512.289999999994</v>
      </c>
    </row>
    <row r="200" spans="2:7" ht="29.25" thickBot="1" x14ac:dyDescent="0.3">
      <c r="B200" s="10">
        <v>45857</v>
      </c>
      <c r="C200" s="11" t="s">
        <v>23</v>
      </c>
      <c r="D200" s="13">
        <v>520008718463</v>
      </c>
      <c r="E200" s="11"/>
      <c r="F200" s="12">
        <v>1500</v>
      </c>
      <c r="G200" s="12">
        <v>73012.289999999994</v>
      </c>
    </row>
    <row r="201" spans="2:7" ht="15.75" thickBot="1" x14ac:dyDescent="0.3">
      <c r="B201" s="10">
        <v>45857</v>
      </c>
      <c r="C201" s="11" t="s">
        <v>302</v>
      </c>
      <c r="D201" s="13">
        <v>474286733</v>
      </c>
      <c r="E201" s="12">
        <v>6240</v>
      </c>
      <c r="F201" s="11"/>
      <c r="G201" s="12">
        <v>66772.289999999994</v>
      </c>
    </row>
    <row r="202" spans="2:7" ht="29.25" thickBot="1" x14ac:dyDescent="0.3">
      <c r="B202" s="10">
        <v>45857</v>
      </c>
      <c r="C202" s="11" t="s">
        <v>137</v>
      </c>
      <c r="D202" s="13">
        <v>474286898</v>
      </c>
      <c r="E202" s="12">
        <v>4080</v>
      </c>
      <c r="F202" s="11"/>
      <c r="G202" s="12">
        <v>62692.29</v>
      </c>
    </row>
    <row r="203" spans="2:7" ht="29.25" thickBot="1" x14ac:dyDescent="0.3">
      <c r="B203" s="10">
        <v>45857</v>
      </c>
      <c r="C203" s="11" t="s">
        <v>273</v>
      </c>
      <c r="D203" s="13">
        <v>474287188</v>
      </c>
      <c r="E203" s="11">
        <v>480</v>
      </c>
      <c r="F203" s="11"/>
      <c r="G203" s="12">
        <v>62212.29</v>
      </c>
    </row>
    <row r="204" spans="2:7" ht="29.25" thickBot="1" x14ac:dyDescent="0.3">
      <c r="B204" s="10">
        <v>45857</v>
      </c>
      <c r="C204" s="11" t="s">
        <v>303</v>
      </c>
      <c r="D204" s="13" t="s">
        <v>304</v>
      </c>
      <c r="E204" s="11"/>
      <c r="F204" s="12">
        <v>4750</v>
      </c>
      <c r="G204" s="12">
        <v>66962.289999999994</v>
      </c>
    </row>
    <row r="205" spans="2:7" ht="29.25" thickBot="1" x14ac:dyDescent="0.3">
      <c r="B205" s="10">
        <v>45858</v>
      </c>
      <c r="C205" s="11" t="s">
        <v>305</v>
      </c>
      <c r="D205" s="13" t="s">
        <v>306</v>
      </c>
      <c r="E205" s="11"/>
      <c r="F205" s="12">
        <v>15210</v>
      </c>
      <c r="G205" s="12">
        <v>82172.289999999994</v>
      </c>
    </row>
    <row r="206" spans="2:7" ht="15.75" thickBot="1" x14ac:dyDescent="0.3">
      <c r="B206" s="10">
        <v>45859</v>
      </c>
      <c r="C206" s="11" t="s">
        <v>307</v>
      </c>
      <c r="D206" s="13">
        <v>474416387</v>
      </c>
      <c r="E206" s="12">
        <v>55440</v>
      </c>
      <c r="F206" s="11"/>
      <c r="G206" s="12">
        <v>26732.29</v>
      </c>
    </row>
    <row r="207" spans="2:7" ht="29.25" thickBot="1" x14ac:dyDescent="0.3">
      <c r="B207" s="10">
        <v>45859</v>
      </c>
      <c r="C207" s="11" t="s">
        <v>308</v>
      </c>
      <c r="D207" s="13" t="s">
        <v>309</v>
      </c>
      <c r="E207" s="11"/>
      <c r="F207" s="12">
        <v>20000</v>
      </c>
      <c r="G207" s="12">
        <v>46732.29</v>
      </c>
    </row>
    <row r="208" spans="2:7" ht="15.75" thickBot="1" x14ac:dyDescent="0.3">
      <c r="B208" s="10">
        <v>45859</v>
      </c>
      <c r="C208" s="11" t="s">
        <v>310</v>
      </c>
      <c r="D208" s="13">
        <v>474504231</v>
      </c>
      <c r="E208" s="12">
        <v>25000</v>
      </c>
      <c r="F208" s="11"/>
      <c r="G208" s="12">
        <v>21732.29</v>
      </c>
    </row>
    <row r="209" spans="2:7" ht="29.25" thickBot="1" x14ac:dyDescent="0.3">
      <c r="B209" s="10">
        <v>45860</v>
      </c>
      <c r="C209" s="11" t="s">
        <v>311</v>
      </c>
      <c r="D209" s="13" t="s">
        <v>312</v>
      </c>
      <c r="E209" s="11"/>
      <c r="F209" s="12">
        <v>20149</v>
      </c>
      <c r="G209" s="12">
        <v>41881.29</v>
      </c>
    </row>
    <row r="210" spans="2:7" ht="29.25" thickBot="1" x14ac:dyDescent="0.3">
      <c r="B210" s="10">
        <v>45861</v>
      </c>
      <c r="C210" s="11" t="s">
        <v>313</v>
      </c>
      <c r="D210" s="13" t="s">
        <v>314</v>
      </c>
      <c r="E210" s="11"/>
      <c r="F210" s="12">
        <v>20350</v>
      </c>
      <c r="G210" s="12">
        <v>62231.29</v>
      </c>
    </row>
    <row r="211" spans="2:7" ht="15.75" thickBot="1" x14ac:dyDescent="0.3">
      <c r="B211" s="10">
        <v>45861</v>
      </c>
      <c r="C211" s="11" t="s">
        <v>246</v>
      </c>
      <c r="D211" s="13">
        <v>474793657</v>
      </c>
      <c r="E211" s="12">
        <v>32500</v>
      </c>
      <c r="F211" s="11"/>
      <c r="G211" s="12">
        <v>29731.29</v>
      </c>
    </row>
    <row r="212" spans="2:7" ht="29.25" thickBot="1" x14ac:dyDescent="0.3">
      <c r="B212" s="10">
        <v>45861</v>
      </c>
      <c r="C212" s="11" t="s">
        <v>315</v>
      </c>
      <c r="D212" s="13" t="s">
        <v>316</v>
      </c>
      <c r="E212" s="11"/>
      <c r="F212" s="12">
        <v>5400</v>
      </c>
      <c r="G212" s="12">
        <v>35131.29</v>
      </c>
    </row>
    <row r="213" spans="2:7" ht="29.25" thickBot="1" x14ac:dyDescent="0.3">
      <c r="B213" s="10">
        <v>45862</v>
      </c>
      <c r="C213" s="11" t="s">
        <v>317</v>
      </c>
      <c r="D213" s="13" t="s">
        <v>318</v>
      </c>
      <c r="E213" s="11"/>
      <c r="F213" s="12">
        <v>11449</v>
      </c>
      <c r="G213" s="12">
        <v>46580.29</v>
      </c>
    </row>
    <row r="214" spans="2:7" ht="29.25" thickBot="1" x14ac:dyDescent="0.3">
      <c r="B214" s="10">
        <v>45863</v>
      </c>
      <c r="C214" s="11" t="s">
        <v>319</v>
      </c>
      <c r="D214" s="13" t="s">
        <v>320</v>
      </c>
      <c r="E214" s="11"/>
      <c r="F214" s="12">
        <v>5425</v>
      </c>
      <c r="G214" s="12">
        <v>52005.29</v>
      </c>
    </row>
    <row r="215" spans="2:7" ht="29.25" thickBot="1" x14ac:dyDescent="0.3">
      <c r="B215" s="10">
        <v>45863</v>
      </c>
      <c r="C215" s="11" t="s">
        <v>321</v>
      </c>
      <c r="D215" s="13" t="s">
        <v>322</v>
      </c>
      <c r="E215" s="11"/>
      <c r="F215" s="12">
        <v>10498</v>
      </c>
      <c r="G215" s="12">
        <v>62503.29</v>
      </c>
    </row>
    <row r="216" spans="2:7" ht="15.75" thickBot="1" x14ac:dyDescent="0.3">
      <c r="B216" s="10">
        <v>45863</v>
      </c>
      <c r="C216" s="11" t="s">
        <v>323</v>
      </c>
      <c r="D216" s="13">
        <v>475287960</v>
      </c>
      <c r="E216" s="12">
        <v>24000</v>
      </c>
      <c r="F216" s="11"/>
      <c r="G216" s="12">
        <v>38503.29</v>
      </c>
    </row>
    <row r="217" spans="2:7" ht="29.25" thickBot="1" x14ac:dyDescent="0.3">
      <c r="B217" s="10">
        <v>45864</v>
      </c>
      <c r="C217" s="11" t="s">
        <v>324</v>
      </c>
      <c r="D217" s="13" t="s">
        <v>325</v>
      </c>
      <c r="E217" s="11"/>
      <c r="F217" s="12">
        <v>8600</v>
      </c>
      <c r="G217" s="12">
        <v>47103.29</v>
      </c>
    </row>
    <row r="218" spans="2:7" ht="29.25" thickBot="1" x14ac:dyDescent="0.3">
      <c r="B218" s="10">
        <v>45864</v>
      </c>
      <c r="C218" s="11" t="s">
        <v>326</v>
      </c>
      <c r="D218" s="13" t="s">
        <v>327</v>
      </c>
      <c r="E218" s="11"/>
      <c r="F218" s="12">
        <v>2500</v>
      </c>
      <c r="G218" s="12">
        <v>49603.29</v>
      </c>
    </row>
    <row r="219" spans="2:7" ht="29.25" thickBot="1" x14ac:dyDescent="0.3">
      <c r="B219" s="10">
        <v>45865</v>
      </c>
      <c r="C219" s="11" t="s">
        <v>328</v>
      </c>
      <c r="D219" s="13" t="s">
        <v>329</v>
      </c>
      <c r="E219" s="11"/>
      <c r="F219" s="12">
        <v>2700</v>
      </c>
      <c r="G219" s="12">
        <v>52303.29</v>
      </c>
    </row>
    <row r="220" spans="2:7" ht="29.25" thickBot="1" x14ac:dyDescent="0.3">
      <c r="B220" s="10">
        <v>45867</v>
      </c>
      <c r="C220" s="11" t="s">
        <v>330</v>
      </c>
      <c r="D220" s="13" t="s">
        <v>331</v>
      </c>
      <c r="E220" s="11"/>
      <c r="F220" s="12">
        <v>21174</v>
      </c>
      <c r="G220" s="12">
        <v>73477.289999999994</v>
      </c>
    </row>
    <row r="221" spans="2:7" ht="29.25" thickBot="1" x14ac:dyDescent="0.3">
      <c r="B221" s="10">
        <v>45868</v>
      </c>
      <c r="C221" s="11" t="s">
        <v>332</v>
      </c>
      <c r="D221" s="13" t="s">
        <v>333</v>
      </c>
      <c r="E221" s="11"/>
      <c r="F221" s="12">
        <v>8800</v>
      </c>
      <c r="G221" s="12">
        <v>82277.289999999994</v>
      </c>
    </row>
    <row r="222" spans="2:7" ht="29.25" thickBot="1" x14ac:dyDescent="0.3">
      <c r="B222" s="10">
        <v>45869</v>
      </c>
      <c r="C222" s="11" t="s">
        <v>334</v>
      </c>
      <c r="D222" s="13" t="s">
        <v>335</v>
      </c>
      <c r="E222" s="11"/>
      <c r="F222" s="12">
        <v>3000</v>
      </c>
      <c r="G222" s="12">
        <v>85277.29</v>
      </c>
    </row>
    <row r="223" spans="2:7" ht="15.75" thickBot="1" x14ac:dyDescent="0.3">
      <c r="B223" s="10">
        <v>45869</v>
      </c>
      <c r="C223" s="11" t="s">
        <v>336</v>
      </c>
      <c r="D223" s="13">
        <v>476153515</v>
      </c>
      <c r="E223" s="12">
        <v>6000</v>
      </c>
      <c r="F223" s="11"/>
      <c r="G223" s="12">
        <v>79277.289999999994</v>
      </c>
    </row>
    <row r="224" spans="2:7" ht="15.75" thickBot="1" x14ac:dyDescent="0.3">
      <c r="B224" s="10">
        <v>45869</v>
      </c>
      <c r="C224" s="11" t="s">
        <v>337</v>
      </c>
      <c r="D224" s="13">
        <v>476190005</v>
      </c>
      <c r="E224" s="12">
        <v>70000</v>
      </c>
      <c r="F224" s="11"/>
      <c r="G224" s="12">
        <v>9277.2900000000009</v>
      </c>
    </row>
    <row r="225" spans="2:7" ht="29.25" thickBot="1" x14ac:dyDescent="0.3">
      <c r="B225" s="10">
        <v>45869</v>
      </c>
      <c r="C225" s="11" t="s">
        <v>338</v>
      </c>
      <c r="D225" s="13" t="s">
        <v>339</v>
      </c>
      <c r="E225" s="11"/>
      <c r="F225" s="12">
        <v>4520.25</v>
      </c>
      <c r="G225" s="12">
        <v>13797.54</v>
      </c>
    </row>
    <row r="226" spans="2:7" ht="29.25" thickBot="1" x14ac:dyDescent="0.3">
      <c r="B226" s="10">
        <v>45870</v>
      </c>
      <c r="C226" s="11" t="s">
        <v>340</v>
      </c>
      <c r="D226" s="13" t="s">
        <v>341</v>
      </c>
      <c r="E226" s="11"/>
      <c r="F226" s="12">
        <v>4700</v>
      </c>
      <c r="G226" s="12">
        <v>18497.54</v>
      </c>
    </row>
    <row r="227" spans="2:7" ht="29.25" thickBot="1" x14ac:dyDescent="0.3">
      <c r="B227" s="10">
        <v>45870</v>
      </c>
      <c r="C227" s="11" t="s">
        <v>342</v>
      </c>
      <c r="D227" s="13" t="s">
        <v>343</v>
      </c>
      <c r="E227" s="11"/>
      <c r="F227" s="12">
        <v>2500</v>
      </c>
      <c r="G227" s="12">
        <v>20997.54</v>
      </c>
    </row>
    <row r="228" spans="2:7" ht="29.25" thickBot="1" x14ac:dyDescent="0.3">
      <c r="B228" s="10">
        <v>45871</v>
      </c>
      <c r="C228" s="11" t="s">
        <v>344</v>
      </c>
      <c r="D228" s="13" t="s">
        <v>345</v>
      </c>
      <c r="E228" s="11"/>
      <c r="F228" s="12">
        <v>6500</v>
      </c>
      <c r="G228" s="12">
        <v>27497.54</v>
      </c>
    </row>
    <row r="229" spans="2:7" ht="29.25" thickBot="1" x14ac:dyDescent="0.3">
      <c r="B229" s="10">
        <v>45872</v>
      </c>
      <c r="C229" s="11" t="s">
        <v>346</v>
      </c>
      <c r="D229" s="13" t="s">
        <v>347</v>
      </c>
      <c r="E229" s="11"/>
      <c r="F229" s="12">
        <v>16860</v>
      </c>
      <c r="G229" s="12">
        <v>44357.54</v>
      </c>
    </row>
    <row r="230" spans="2:7" ht="29.25" thickBot="1" x14ac:dyDescent="0.3">
      <c r="B230" s="10">
        <v>45874</v>
      </c>
      <c r="C230" s="11" t="s">
        <v>348</v>
      </c>
      <c r="D230" s="13" t="s">
        <v>349</v>
      </c>
      <c r="E230" s="11"/>
      <c r="F230" s="12">
        <v>22849</v>
      </c>
      <c r="G230" s="12">
        <v>67206.539999999994</v>
      </c>
    </row>
    <row r="231" spans="2:7" ht="29.25" thickBot="1" x14ac:dyDescent="0.3">
      <c r="B231" s="10">
        <v>45874</v>
      </c>
      <c r="C231" s="11" t="s">
        <v>23</v>
      </c>
      <c r="D231" s="13">
        <v>521707721516</v>
      </c>
      <c r="E231" s="11"/>
      <c r="F231" s="12">
        <v>31000</v>
      </c>
      <c r="G231" s="12">
        <v>98206.54</v>
      </c>
    </row>
    <row r="232" spans="2:7" ht="29.25" thickBot="1" x14ac:dyDescent="0.3">
      <c r="B232" s="10">
        <v>45875</v>
      </c>
      <c r="C232" s="11" t="s">
        <v>350</v>
      </c>
      <c r="D232" s="13" t="s">
        <v>351</v>
      </c>
      <c r="E232" s="11"/>
      <c r="F232" s="12">
        <v>9946.9</v>
      </c>
      <c r="G232" s="12">
        <v>108153.44</v>
      </c>
    </row>
    <row r="233" spans="2:7" ht="15.75" thickBot="1" x14ac:dyDescent="0.3">
      <c r="B233" s="10">
        <v>45875</v>
      </c>
      <c r="C233" s="11" t="s">
        <v>352</v>
      </c>
      <c r="D233" s="13">
        <v>477456911</v>
      </c>
      <c r="E233" s="12">
        <v>25000</v>
      </c>
      <c r="F233" s="11"/>
      <c r="G233" s="12">
        <v>83153.440000000002</v>
      </c>
    </row>
    <row r="234" spans="2:7" ht="29.25" thickBot="1" x14ac:dyDescent="0.3">
      <c r="B234" s="10">
        <v>45876</v>
      </c>
      <c r="C234" s="11" t="s">
        <v>353</v>
      </c>
      <c r="D234" s="13" t="s">
        <v>354</v>
      </c>
      <c r="E234" s="11"/>
      <c r="F234" s="12">
        <v>13274</v>
      </c>
      <c r="G234" s="12">
        <v>96427.44</v>
      </c>
    </row>
    <row r="235" spans="2:7" ht="29.25" thickBot="1" x14ac:dyDescent="0.3">
      <c r="B235" s="10">
        <v>45876</v>
      </c>
      <c r="C235" s="11" t="s">
        <v>355</v>
      </c>
      <c r="D235" s="13" t="s">
        <v>356</v>
      </c>
      <c r="E235" s="11"/>
      <c r="F235" s="12">
        <v>4250</v>
      </c>
      <c r="G235" s="12">
        <v>100677.44</v>
      </c>
    </row>
    <row r="236" spans="2:7" ht="29.25" thickBot="1" x14ac:dyDescent="0.3">
      <c r="B236" s="10">
        <v>45877</v>
      </c>
      <c r="C236" s="11" t="s">
        <v>357</v>
      </c>
      <c r="D236" s="13" t="s">
        <v>358</v>
      </c>
      <c r="E236" s="11"/>
      <c r="F236" s="12">
        <v>21413.49</v>
      </c>
      <c r="G236" s="12">
        <v>122090.93</v>
      </c>
    </row>
    <row r="237" spans="2:7" ht="29.25" thickBot="1" x14ac:dyDescent="0.3">
      <c r="B237" s="10">
        <v>45877</v>
      </c>
      <c r="C237" s="11" t="s">
        <v>64</v>
      </c>
      <c r="D237" s="13">
        <v>478180227</v>
      </c>
      <c r="E237" s="12">
        <v>10000</v>
      </c>
      <c r="F237" s="11"/>
      <c r="G237" s="12">
        <v>112090.93</v>
      </c>
    </row>
    <row r="238" spans="2:7" ht="29.25" thickBot="1" x14ac:dyDescent="0.3">
      <c r="B238" s="10">
        <v>45878</v>
      </c>
      <c r="C238" s="11" t="s">
        <v>359</v>
      </c>
      <c r="D238" s="13" t="s">
        <v>360</v>
      </c>
      <c r="E238" s="11"/>
      <c r="F238" s="12">
        <v>2700</v>
      </c>
      <c r="G238" s="12">
        <v>114790.93</v>
      </c>
    </row>
    <row r="239" spans="2:7" ht="29.25" thickBot="1" x14ac:dyDescent="0.3">
      <c r="B239" s="10">
        <v>45879</v>
      </c>
      <c r="C239" s="11" t="s">
        <v>361</v>
      </c>
      <c r="D239" s="13" t="s">
        <v>362</v>
      </c>
      <c r="E239" s="11"/>
      <c r="F239" s="12">
        <v>2850</v>
      </c>
      <c r="G239" s="12">
        <v>117640.93</v>
      </c>
    </row>
    <row r="240" spans="2:7" ht="29.25" thickBot="1" x14ac:dyDescent="0.3">
      <c r="B240" s="10">
        <v>45880</v>
      </c>
      <c r="C240" s="11" t="s">
        <v>363</v>
      </c>
      <c r="D240" s="13" t="s">
        <v>364</v>
      </c>
      <c r="E240" s="11"/>
      <c r="F240" s="12">
        <v>3000</v>
      </c>
      <c r="G240" s="12">
        <v>120640.93</v>
      </c>
    </row>
    <row r="241" spans="2:7" ht="29.25" thickBot="1" x14ac:dyDescent="0.3">
      <c r="B241" s="10">
        <v>45880</v>
      </c>
      <c r="C241" s="11" t="s">
        <v>136</v>
      </c>
      <c r="D241" s="13">
        <v>478405426</v>
      </c>
      <c r="E241" s="12">
        <v>25320</v>
      </c>
      <c r="F241" s="11"/>
      <c r="G241" s="12">
        <v>95320.93</v>
      </c>
    </row>
    <row r="242" spans="2:7" ht="29.25" thickBot="1" x14ac:dyDescent="0.3">
      <c r="B242" s="10">
        <v>45880</v>
      </c>
      <c r="C242" s="11" t="s">
        <v>137</v>
      </c>
      <c r="D242" s="13">
        <v>478405656</v>
      </c>
      <c r="E242" s="12">
        <v>25320</v>
      </c>
      <c r="F242" s="11"/>
      <c r="G242" s="12">
        <v>70000.929999999993</v>
      </c>
    </row>
    <row r="243" spans="2:7" ht="29.25" thickBot="1" x14ac:dyDescent="0.3">
      <c r="B243" s="10">
        <v>45880</v>
      </c>
      <c r="C243" s="11" t="s">
        <v>273</v>
      </c>
      <c r="D243" s="13">
        <v>478406505</v>
      </c>
      <c r="E243" s="12">
        <v>14666</v>
      </c>
      <c r="F243" s="11"/>
      <c r="G243" s="12">
        <v>55334.93</v>
      </c>
    </row>
    <row r="244" spans="2:7" ht="29.25" thickBot="1" x14ac:dyDescent="0.3">
      <c r="B244" s="10">
        <v>45881</v>
      </c>
      <c r="C244" s="11" t="s">
        <v>365</v>
      </c>
      <c r="D244" s="13" t="s">
        <v>366</v>
      </c>
      <c r="E244" s="11"/>
      <c r="F244" s="12">
        <v>8894.35</v>
      </c>
      <c r="G244" s="12">
        <v>64229.279999999999</v>
      </c>
    </row>
    <row r="245" spans="2:7" ht="29.25" thickBot="1" x14ac:dyDescent="0.3">
      <c r="B245" s="10">
        <v>45882</v>
      </c>
      <c r="C245" s="11" t="s">
        <v>367</v>
      </c>
      <c r="D245" s="13" t="s">
        <v>368</v>
      </c>
      <c r="E245" s="11"/>
      <c r="F245" s="12">
        <v>12830</v>
      </c>
      <c r="G245" s="12">
        <v>77059.28</v>
      </c>
    </row>
    <row r="246" spans="2:7" ht="15.75" thickBot="1" x14ac:dyDescent="0.3">
      <c r="B246" s="10">
        <v>45882</v>
      </c>
      <c r="C246" s="11" t="s">
        <v>369</v>
      </c>
      <c r="D246" s="13" t="s">
        <v>370</v>
      </c>
      <c r="E246" s="12">
        <v>3400</v>
      </c>
      <c r="F246" s="11"/>
      <c r="G246" s="12">
        <v>73659.28</v>
      </c>
    </row>
    <row r="247" spans="2:7" ht="29.25" thickBot="1" x14ac:dyDescent="0.3">
      <c r="B247" s="10">
        <v>45883</v>
      </c>
      <c r="C247" s="11" t="s">
        <v>371</v>
      </c>
      <c r="D247" s="13" t="s">
        <v>372</v>
      </c>
      <c r="E247" s="11"/>
      <c r="F247" s="12">
        <v>7000</v>
      </c>
      <c r="G247" s="12">
        <v>80659.28</v>
      </c>
    </row>
    <row r="248" spans="2:7" ht="29.25" thickBot="1" x14ac:dyDescent="0.3">
      <c r="B248" s="10">
        <v>45883</v>
      </c>
      <c r="C248" s="11" t="s">
        <v>373</v>
      </c>
      <c r="D248" s="13">
        <v>479032537</v>
      </c>
      <c r="E248" s="12">
        <v>20465</v>
      </c>
      <c r="F248" s="11"/>
      <c r="G248" s="12">
        <v>60194.28</v>
      </c>
    </row>
    <row r="249" spans="2:7" ht="29.25" thickBot="1" x14ac:dyDescent="0.3">
      <c r="B249" s="10">
        <v>45884</v>
      </c>
      <c r="C249" s="11" t="s">
        <v>374</v>
      </c>
      <c r="D249" s="13" t="s">
        <v>375</v>
      </c>
      <c r="E249" s="11"/>
      <c r="F249" s="12">
        <v>19669.349999999999</v>
      </c>
      <c r="G249" s="12">
        <v>79863.63</v>
      </c>
    </row>
    <row r="250" spans="2:7" ht="29.25" thickBot="1" x14ac:dyDescent="0.3">
      <c r="B250" s="10">
        <v>45884</v>
      </c>
      <c r="C250" s="11" t="s">
        <v>376</v>
      </c>
      <c r="D250" s="13" t="s">
        <v>377</v>
      </c>
      <c r="E250" s="11"/>
      <c r="F250" s="12">
        <v>56900</v>
      </c>
      <c r="G250" s="12">
        <v>136763.63</v>
      </c>
    </row>
    <row r="251" spans="2:7" ht="15.75" thickBot="1" x14ac:dyDescent="0.3">
      <c r="B251" s="10">
        <v>45884</v>
      </c>
      <c r="C251" s="11" t="s">
        <v>378</v>
      </c>
      <c r="D251" s="13" t="s">
        <v>379</v>
      </c>
      <c r="E251" s="12">
        <v>3000</v>
      </c>
      <c r="F251" s="11"/>
      <c r="G251" s="12">
        <v>133763.63</v>
      </c>
    </row>
    <row r="252" spans="2:7" ht="29.25" thickBot="1" x14ac:dyDescent="0.3">
      <c r="B252" s="10">
        <v>45885</v>
      </c>
      <c r="C252" s="11" t="s">
        <v>380</v>
      </c>
      <c r="D252" s="13">
        <v>479332508</v>
      </c>
      <c r="E252" s="12">
        <v>25000</v>
      </c>
      <c r="F252" s="11"/>
      <c r="G252" s="12">
        <v>108763.63</v>
      </c>
    </row>
    <row r="253" spans="2:7" ht="29.25" thickBot="1" x14ac:dyDescent="0.3">
      <c r="B253" s="10">
        <v>45886</v>
      </c>
      <c r="C253" s="11" t="s">
        <v>381</v>
      </c>
      <c r="D253" s="13" t="s">
        <v>382</v>
      </c>
      <c r="E253" s="11"/>
      <c r="F253" s="12">
        <v>18499</v>
      </c>
      <c r="G253" s="12">
        <v>127262.63</v>
      </c>
    </row>
    <row r="254" spans="2:7" ht="29.25" thickBot="1" x14ac:dyDescent="0.3">
      <c r="B254" s="10">
        <v>45886</v>
      </c>
      <c r="C254" s="11" t="s">
        <v>380</v>
      </c>
      <c r="D254" s="13">
        <v>479455505</v>
      </c>
      <c r="E254" s="12">
        <v>65000</v>
      </c>
      <c r="F254" s="11"/>
      <c r="G254" s="12">
        <v>62262.63</v>
      </c>
    </row>
    <row r="255" spans="2:7" ht="29.25" thickBot="1" x14ac:dyDescent="0.3">
      <c r="B255" s="10">
        <v>45887</v>
      </c>
      <c r="C255" s="11" t="s">
        <v>383</v>
      </c>
      <c r="D255" s="13" t="s">
        <v>384</v>
      </c>
      <c r="E255" s="11"/>
      <c r="F255" s="12">
        <v>2000</v>
      </c>
      <c r="G255" s="12">
        <v>64262.63</v>
      </c>
    </row>
    <row r="256" spans="2:7" ht="29.25" thickBot="1" x14ac:dyDescent="0.3">
      <c r="B256" s="10">
        <v>45887</v>
      </c>
      <c r="C256" s="11" t="s">
        <v>385</v>
      </c>
      <c r="D256" s="13" t="s">
        <v>386</v>
      </c>
      <c r="E256" s="11"/>
      <c r="F256" s="12">
        <v>4500</v>
      </c>
      <c r="G256" s="12">
        <v>68762.63</v>
      </c>
    </row>
    <row r="257" spans="2:7" ht="29.25" thickBot="1" x14ac:dyDescent="0.3">
      <c r="B257" s="10">
        <v>45887</v>
      </c>
      <c r="C257" s="11" t="s">
        <v>64</v>
      </c>
      <c r="D257" s="13">
        <v>479618545</v>
      </c>
      <c r="E257" s="12">
        <v>20000</v>
      </c>
      <c r="F257" s="11"/>
      <c r="G257" s="12">
        <v>48762.63</v>
      </c>
    </row>
    <row r="258" spans="2:7" ht="29.25" thickBot="1" x14ac:dyDescent="0.3">
      <c r="B258" s="10">
        <v>45888</v>
      </c>
      <c r="C258" s="11" t="s">
        <v>387</v>
      </c>
      <c r="D258" s="13" t="s">
        <v>388</v>
      </c>
      <c r="E258" s="11"/>
      <c r="F258" s="12">
        <v>20600</v>
      </c>
      <c r="G258" s="12">
        <v>69362.63</v>
      </c>
    </row>
    <row r="259" spans="2:7" ht="29.25" thickBot="1" x14ac:dyDescent="0.3">
      <c r="B259" s="10">
        <v>45889</v>
      </c>
      <c r="C259" s="11" t="s">
        <v>389</v>
      </c>
      <c r="D259" s="13" t="s">
        <v>390</v>
      </c>
      <c r="E259" s="11"/>
      <c r="F259" s="12">
        <v>11249</v>
      </c>
      <c r="G259" s="12">
        <v>80611.63</v>
      </c>
    </row>
    <row r="260" spans="2:7" ht="15.75" thickBot="1" x14ac:dyDescent="0.3">
      <c r="B260" s="10">
        <v>45889</v>
      </c>
      <c r="C260" s="11" t="s">
        <v>391</v>
      </c>
      <c r="D260" s="13">
        <v>479882293</v>
      </c>
      <c r="E260" s="12">
        <v>25000</v>
      </c>
      <c r="F260" s="11"/>
      <c r="G260" s="12">
        <v>55611.63</v>
      </c>
    </row>
    <row r="261" spans="2:7" ht="29.25" thickBot="1" x14ac:dyDescent="0.3">
      <c r="B261" s="10">
        <v>45890</v>
      </c>
      <c r="C261" s="11" t="s">
        <v>392</v>
      </c>
      <c r="D261" s="13" t="s">
        <v>393</v>
      </c>
      <c r="E261" s="11"/>
      <c r="F261" s="12">
        <v>54945.33</v>
      </c>
      <c r="G261" s="12">
        <v>110556.96</v>
      </c>
    </row>
    <row r="262" spans="2:7" ht="29.25" thickBot="1" x14ac:dyDescent="0.3">
      <c r="B262" s="10">
        <v>45890</v>
      </c>
      <c r="C262" s="11" t="s">
        <v>150</v>
      </c>
      <c r="D262" s="13">
        <v>480069062</v>
      </c>
      <c r="E262" s="12">
        <v>10000</v>
      </c>
      <c r="F262" s="11"/>
      <c r="G262" s="12">
        <v>100556.96</v>
      </c>
    </row>
    <row r="263" spans="2:7" ht="15.75" thickBot="1" x14ac:dyDescent="0.3">
      <c r="B263" s="10">
        <v>45890</v>
      </c>
      <c r="C263" s="11" t="s">
        <v>302</v>
      </c>
      <c r="D263" s="13">
        <v>480070908</v>
      </c>
      <c r="E263" s="12">
        <v>6555</v>
      </c>
      <c r="F263" s="11"/>
      <c r="G263" s="12">
        <v>94001.96</v>
      </c>
    </row>
    <row r="264" spans="2:7" ht="29.25" thickBot="1" x14ac:dyDescent="0.3">
      <c r="B264" s="10">
        <v>45890</v>
      </c>
      <c r="C264" s="11" t="s">
        <v>137</v>
      </c>
      <c r="D264" s="13">
        <v>480070938</v>
      </c>
      <c r="E264" s="12">
        <v>3000</v>
      </c>
      <c r="F264" s="11"/>
      <c r="G264" s="12">
        <v>91001.96</v>
      </c>
    </row>
    <row r="265" spans="2:7" ht="29.25" thickBot="1" x14ac:dyDescent="0.3">
      <c r="B265" s="10">
        <v>45890</v>
      </c>
      <c r="C265" s="11" t="s">
        <v>137</v>
      </c>
      <c r="D265" s="13">
        <v>480070974</v>
      </c>
      <c r="E265" s="12">
        <v>3000</v>
      </c>
      <c r="F265" s="11"/>
      <c r="G265" s="12">
        <v>88001.96</v>
      </c>
    </row>
    <row r="266" spans="2:7" ht="29.25" thickBot="1" x14ac:dyDescent="0.3">
      <c r="B266" s="10">
        <v>45890</v>
      </c>
      <c r="C266" s="11" t="s">
        <v>136</v>
      </c>
      <c r="D266" s="13">
        <v>480071701</v>
      </c>
      <c r="E266" s="12">
        <v>6850</v>
      </c>
      <c r="F266" s="11"/>
      <c r="G266" s="12">
        <v>81151.960000000006</v>
      </c>
    </row>
    <row r="267" spans="2:7" ht="29.25" thickBot="1" x14ac:dyDescent="0.3">
      <c r="B267" s="10">
        <v>45890</v>
      </c>
      <c r="C267" s="11" t="s">
        <v>273</v>
      </c>
      <c r="D267" s="13">
        <v>480071881</v>
      </c>
      <c r="E267" s="12">
        <v>6000</v>
      </c>
      <c r="F267" s="11"/>
      <c r="G267" s="12">
        <v>75151.960000000006</v>
      </c>
    </row>
    <row r="268" spans="2:7" ht="29.25" thickBot="1" x14ac:dyDescent="0.3">
      <c r="B268" s="10">
        <v>45890</v>
      </c>
      <c r="C268" s="11" t="s">
        <v>273</v>
      </c>
      <c r="D268" s="13">
        <v>480071982</v>
      </c>
      <c r="E268" s="12">
        <v>3000</v>
      </c>
      <c r="F268" s="11"/>
      <c r="G268" s="12">
        <v>72151.960000000006</v>
      </c>
    </row>
    <row r="269" spans="2:7" ht="15.75" thickBot="1" x14ac:dyDescent="0.3">
      <c r="B269" s="10">
        <v>45890</v>
      </c>
      <c r="C269" s="11" t="s">
        <v>394</v>
      </c>
      <c r="D269" s="13">
        <v>480072096</v>
      </c>
      <c r="E269" s="12">
        <v>6271</v>
      </c>
      <c r="F269" s="11"/>
      <c r="G269" s="12">
        <v>65880.960000000006</v>
      </c>
    </row>
    <row r="270" spans="2:7" ht="29.25" thickBot="1" x14ac:dyDescent="0.3">
      <c r="B270" s="10">
        <v>45891</v>
      </c>
      <c r="C270" s="11" t="s">
        <v>395</v>
      </c>
      <c r="D270" s="13" t="s">
        <v>396</v>
      </c>
      <c r="E270" s="11"/>
      <c r="F270" s="12">
        <v>2000</v>
      </c>
      <c r="G270" s="12">
        <v>67880.960000000006</v>
      </c>
    </row>
    <row r="271" spans="2:7" ht="29.25" thickBot="1" x14ac:dyDescent="0.3">
      <c r="B271" s="10">
        <v>45891</v>
      </c>
      <c r="C271" s="11" t="s">
        <v>23</v>
      </c>
      <c r="D271" s="13">
        <v>523409724287</v>
      </c>
      <c r="E271" s="11"/>
      <c r="F271" s="12">
        <v>43500</v>
      </c>
      <c r="G271" s="12">
        <v>111380.96</v>
      </c>
    </row>
    <row r="272" spans="2:7" ht="29.25" thickBot="1" x14ac:dyDescent="0.3">
      <c r="B272" s="10">
        <v>45891</v>
      </c>
      <c r="C272" s="11" t="s">
        <v>397</v>
      </c>
      <c r="D272" s="13" t="s">
        <v>398</v>
      </c>
      <c r="E272" s="11"/>
      <c r="F272" s="12">
        <v>36920</v>
      </c>
      <c r="G272" s="12">
        <v>148300.96</v>
      </c>
    </row>
    <row r="273" spans="2:7" ht="29.25" thickBot="1" x14ac:dyDescent="0.3">
      <c r="B273" s="10">
        <v>45892</v>
      </c>
      <c r="C273" s="11" t="s">
        <v>399</v>
      </c>
      <c r="D273" s="13" t="s">
        <v>400</v>
      </c>
      <c r="E273" s="11"/>
      <c r="F273" s="12">
        <v>14600</v>
      </c>
      <c r="G273" s="12">
        <v>162900.96</v>
      </c>
    </row>
    <row r="274" spans="2:7" ht="29.25" thickBot="1" x14ac:dyDescent="0.3">
      <c r="B274" s="10">
        <v>45892</v>
      </c>
      <c r="C274" s="11" t="s">
        <v>64</v>
      </c>
      <c r="D274" s="13">
        <v>480442932</v>
      </c>
      <c r="E274" s="12">
        <v>37500</v>
      </c>
      <c r="F274" s="11"/>
      <c r="G274" s="12">
        <v>125400.96000000001</v>
      </c>
    </row>
    <row r="275" spans="2:7" ht="29.25" thickBot="1" x14ac:dyDescent="0.3">
      <c r="B275" s="10">
        <v>45893</v>
      </c>
      <c r="C275" s="11" t="s">
        <v>401</v>
      </c>
      <c r="D275" s="13" t="s">
        <v>402</v>
      </c>
      <c r="E275" s="11"/>
      <c r="F275" s="12">
        <v>8100</v>
      </c>
      <c r="G275" s="12">
        <v>133500.96</v>
      </c>
    </row>
    <row r="276" spans="2:7" ht="29.25" thickBot="1" x14ac:dyDescent="0.3">
      <c r="B276" s="10">
        <v>45894</v>
      </c>
      <c r="C276" s="11" t="s">
        <v>403</v>
      </c>
      <c r="D276" s="13" t="s">
        <v>404</v>
      </c>
      <c r="E276" s="11"/>
      <c r="F276" s="12">
        <v>2800</v>
      </c>
      <c r="G276" s="12">
        <v>136300.96</v>
      </c>
    </row>
    <row r="277" spans="2:7" ht="29.25" thickBot="1" x14ac:dyDescent="0.3">
      <c r="B277" s="10">
        <v>45894</v>
      </c>
      <c r="C277" s="11" t="s">
        <v>380</v>
      </c>
      <c r="D277" s="13">
        <v>480648815</v>
      </c>
      <c r="E277" s="12">
        <v>68215</v>
      </c>
      <c r="F277" s="11"/>
      <c r="G277" s="12">
        <v>68085.960000000006</v>
      </c>
    </row>
    <row r="278" spans="2:7" ht="15.75" thickBot="1" x14ac:dyDescent="0.3">
      <c r="B278" s="10">
        <v>45894</v>
      </c>
      <c r="C278" s="11" t="s">
        <v>158</v>
      </c>
      <c r="D278" s="13">
        <v>480728305</v>
      </c>
      <c r="E278" s="12">
        <v>21126</v>
      </c>
      <c r="F278" s="11"/>
      <c r="G278" s="12">
        <v>46959.96</v>
      </c>
    </row>
    <row r="279" spans="2:7" ht="29.25" thickBot="1" x14ac:dyDescent="0.3">
      <c r="B279" s="10">
        <v>45894</v>
      </c>
      <c r="C279" s="11" t="s">
        <v>150</v>
      </c>
      <c r="D279" s="13">
        <v>480771517</v>
      </c>
      <c r="E279" s="12">
        <v>1380</v>
      </c>
      <c r="F279" s="11"/>
      <c r="G279" s="12">
        <v>45579.96</v>
      </c>
    </row>
    <row r="280" spans="2:7" ht="29.25" thickBot="1" x14ac:dyDescent="0.3">
      <c r="B280" s="10">
        <v>45895</v>
      </c>
      <c r="C280" s="11" t="s">
        <v>405</v>
      </c>
      <c r="D280" s="13" t="s">
        <v>406</v>
      </c>
      <c r="E280" s="11"/>
      <c r="F280" s="12">
        <v>15450</v>
      </c>
      <c r="G280" s="12">
        <v>61029.96</v>
      </c>
    </row>
    <row r="281" spans="2:7" ht="29.25" thickBot="1" x14ac:dyDescent="0.3">
      <c r="B281" s="10">
        <v>45896</v>
      </c>
      <c r="C281" s="11" t="s">
        <v>407</v>
      </c>
      <c r="D281" s="13" t="s">
        <v>408</v>
      </c>
      <c r="E281" s="11"/>
      <c r="F281" s="12">
        <v>26630</v>
      </c>
      <c r="G281" s="12">
        <v>87659.96</v>
      </c>
    </row>
    <row r="282" spans="2:7" ht="29.25" thickBot="1" x14ac:dyDescent="0.3">
      <c r="B282" s="10">
        <v>45896</v>
      </c>
      <c r="C282" s="11" t="s">
        <v>409</v>
      </c>
      <c r="D282" s="13" t="s">
        <v>410</v>
      </c>
      <c r="E282" s="11"/>
      <c r="F282" s="12">
        <v>5000</v>
      </c>
      <c r="G282" s="12">
        <v>92659.96</v>
      </c>
    </row>
    <row r="283" spans="2:7" ht="29.25" thickBot="1" x14ac:dyDescent="0.3">
      <c r="B283" s="10">
        <v>45897</v>
      </c>
      <c r="C283" s="11" t="s">
        <v>411</v>
      </c>
      <c r="D283" s="13" t="s">
        <v>412</v>
      </c>
      <c r="E283" s="11"/>
      <c r="F283" s="12">
        <v>2500</v>
      </c>
      <c r="G283" s="12">
        <v>95159.96</v>
      </c>
    </row>
    <row r="284" spans="2:7" ht="29.25" thickBot="1" x14ac:dyDescent="0.3">
      <c r="B284" s="10">
        <v>45897</v>
      </c>
      <c r="C284" s="11" t="s">
        <v>413</v>
      </c>
      <c r="D284" s="13" t="s">
        <v>414</v>
      </c>
      <c r="E284" s="11"/>
      <c r="F284" s="12">
        <v>5249</v>
      </c>
      <c r="G284" s="12">
        <v>100408.96000000001</v>
      </c>
    </row>
    <row r="285" spans="2:7" ht="29.25" thickBot="1" x14ac:dyDescent="0.3">
      <c r="B285" s="10">
        <v>45898</v>
      </c>
      <c r="C285" s="11" t="s">
        <v>415</v>
      </c>
      <c r="D285" s="13" t="s">
        <v>416</v>
      </c>
      <c r="E285" s="11"/>
      <c r="F285" s="12">
        <v>12900</v>
      </c>
      <c r="G285" s="12">
        <v>113308.96</v>
      </c>
    </row>
    <row r="286" spans="2:7" ht="15.75" thickBot="1" x14ac:dyDescent="0.3">
      <c r="B286" s="10">
        <v>45898</v>
      </c>
      <c r="C286" s="11" t="s">
        <v>417</v>
      </c>
      <c r="D286" s="13" t="s">
        <v>418</v>
      </c>
      <c r="E286" s="12">
        <v>1770</v>
      </c>
      <c r="F286" s="11"/>
      <c r="G286" s="12">
        <v>111538.96</v>
      </c>
    </row>
    <row r="287" spans="2:7" ht="29.25" thickBot="1" x14ac:dyDescent="0.3">
      <c r="B287" s="10">
        <v>45899</v>
      </c>
      <c r="C287" s="11" t="s">
        <v>419</v>
      </c>
      <c r="D287" s="13" t="s">
        <v>420</v>
      </c>
      <c r="E287" s="11"/>
      <c r="F287" s="12">
        <v>12000</v>
      </c>
      <c r="G287" s="12">
        <v>123538.96</v>
      </c>
    </row>
    <row r="288" spans="2:7" ht="29.25" thickBot="1" x14ac:dyDescent="0.3">
      <c r="B288" s="10">
        <v>45900</v>
      </c>
      <c r="C288" s="11" t="s">
        <v>421</v>
      </c>
      <c r="D288" s="13" t="s">
        <v>422</v>
      </c>
      <c r="E288" s="11"/>
      <c r="F288" s="12">
        <v>11575.04</v>
      </c>
      <c r="G288" s="12">
        <v>135114</v>
      </c>
    </row>
    <row r="289" spans="2:7" ht="29.25" thickBot="1" x14ac:dyDescent="0.3">
      <c r="B289" s="10">
        <v>45901</v>
      </c>
      <c r="C289" s="11" t="s">
        <v>423</v>
      </c>
      <c r="D289" s="13" t="s">
        <v>424</v>
      </c>
      <c r="E289" s="11"/>
      <c r="F289" s="12">
        <v>8800</v>
      </c>
      <c r="G289" s="12">
        <v>143914</v>
      </c>
    </row>
    <row r="290" spans="2:7" ht="29.25" thickBot="1" x14ac:dyDescent="0.3">
      <c r="B290" s="10">
        <v>45902</v>
      </c>
      <c r="C290" s="11" t="s">
        <v>425</v>
      </c>
      <c r="D290" s="13" t="s">
        <v>426</v>
      </c>
      <c r="E290" s="11"/>
      <c r="F290" s="12">
        <v>11980.53</v>
      </c>
      <c r="G290" s="12">
        <v>155894.53</v>
      </c>
    </row>
    <row r="291" spans="2:7" ht="15.75" thickBot="1" x14ac:dyDescent="0.3">
      <c r="B291" s="10">
        <v>45902</v>
      </c>
      <c r="C291" s="11" t="s">
        <v>427</v>
      </c>
      <c r="D291" s="13" t="s">
        <v>428</v>
      </c>
      <c r="E291" s="12">
        <v>9900</v>
      </c>
      <c r="F291" s="11"/>
      <c r="G291" s="12">
        <v>145994.53</v>
      </c>
    </row>
    <row r="292" spans="2:7" ht="15.75" thickBot="1" x14ac:dyDescent="0.3">
      <c r="B292" s="10">
        <v>45902</v>
      </c>
      <c r="C292" s="11" t="s">
        <v>429</v>
      </c>
      <c r="D292" s="13">
        <v>482261015</v>
      </c>
      <c r="E292" s="12">
        <v>100000</v>
      </c>
      <c r="F292" s="11"/>
      <c r="G292" s="12">
        <v>45994.53</v>
      </c>
    </row>
    <row r="293" spans="2:7" ht="29.25" thickBot="1" x14ac:dyDescent="0.3">
      <c r="B293" s="10">
        <v>45903</v>
      </c>
      <c r="C293" s="11" t="s">
        <v>430</v>
      </c>
      <c r="D293" s="13" t="s">
        <v>431</v>
      </c>
      <c r="E293" s="11"/>
      <c r="F293" s="12">
        <v>35396</v>
      </c>
      <c r="G293" s="12">
        <v>81390.53</v>
      </c>
    </row>
    <row r="294" spans="2:7" ht="29.25" thickBot="1" x14ac:dyDescent="0.3">
      <c r="B294" s="10">
        <v>45905</v>
      </c>
      <c r="C294" s="11" t="s">
        <v>432</v>
      </c>
      <c r="D294" s="13" t="s">
        <v>433</v>
      </c>
      <c r="E294" s="11"/>
      <c r="F294" s="12">
        <v>14449</v>
      </c>
      <c r="G294" s="12">
        <v>95839.53</v>
      </c>
    </row>
    <row r="295" spans="2:7" ht="29.25" thickBot="1" x14ac:dyDescent="0.3">
      <c r="B295" s="10">
        <v>45906</v>
      </c>
      <c r="C295" s="11" t="s">
        <v>434</v>
      </c>
      <c r="D295" s="13" t="s">
        <v>435</v>
      </c>
      <c r="E295" s="11"/>
      <c r="F295" s="12">
        <v>8300</v>
      </c>
      <c r="G295" s="12">
        <v>104139.53</v>
      </c>
    </row>
    <row r="296" spans="2:7" ht="29.25" thickBot="1" x14ac:dyDescent="0.3">
      <c r="B296" s="10">
        <v>45907</v>
      </c>
      <c r="C296" s="11" t="s">
        <v>436</v>
      </c>
      <c r="D296" s="13" t="s">
        <v>437</v>
      </c>
      <c r="E296" s="11"/>
      <c r="F296" s="12">
        <v>2500</v>
      </c>
      <c r="G296" s="12">
        <v>106639.53</v>
      </c>
    </row>
    <row r="297" spans="2:7" ht="29.25" thickBot="1" x14ac:dyDescent="0.3">
      <c r="B297" s="10">
        <v>45909</v>
      </c>
      <c r="C297" s="11" t="s">
        <v>438</v>
      </c>
      <c r="D297" s="13" t="s">
        <v>439</v>
      </c>
      <c r="E297" s="11"/>
      <c r="F297" s="12">
        <v>20850</v>
      </c>
      <c r="G297" s="12">
        <v>127489.53</v>
      </c>
    </row>
    <row r="298" spans="2:7" ht="29.25" thickBot="1" x14ac:dyDescent="0.3">
      <c r="B298" s="10">
        <v>45909</v>
      </c>
      <c r="C298" s="11" t="s">
        <v>440</v>
      </c>
      <c r="D298" s="13" t="s">
        <v>441</v>
      </c>
      <c r="E298" s="11"/>
      <c r="F298" s="12">
        <v>15000</v>
      </c>
      <c r="G298" s="12">
        <v>142489.53</v>
      </c>
    </row>
    <row r="299" spans="2:7" ht="29.25" thickBot="1" x14ac:dyDescent="0.3">
      <c r="B299" s="10">
        <v>45909</v>
      </c>
      <c r="C299" s="11" t="s">
        <v>23</v>
      </c>
      <c r="D299" s="13">
        <v>525209727775</v>
      </c>
      <c r="E299" s="11"/>
      <c r="F299" s="12">
        <v>49500</v>
      </c>
      <c r="G299" s="12">
        <v>191989.53</v>
      </c>
    </row>
    <row r="300" spans="2:7" ht="29.25" thickBot="1" x14ac:dyDescent="0.3">
      <c r="B300" s="10">
        <v>45909</v>
      </c>
      <c r="C300" s="11" t="s">
        <v>23</v>
      </c>
      <c r="D300" s="13">
        <v>525209727777</v>
      </c>
      <c r="E300" s="11"/>
      <c r="F300" s="12">
        <v>26800</v>
      </c>
      <c r="G300" s="12">
        <v>218789.53</v>
      </c>
    </row>
    <row r="301" spans="2:7" ht="29.25" thickBot="1" x14ac:dyDescent="0.3">
      <c r="B301" s="10">
        <v>45909</v>
      </c>
      <c r="C301" s="11" t="s">
        <v>23</v>
      </c>
      <c r="D301" s="13">
        <v>525209727779</v>
      </c>
      <c r="E301" s="11"/>
      <c r="F301" s="11">
        <v>500</v>
      </c>
      <c r="G301" s="12">
        <v>219289.53</v>
      </c>
    </row>
    <row r="302" spans="2:7" ht="29.25" thickBot="1" x14ac:dyDescent="0.3">
      <c r="B302" s="10">
        <v>45909</v>
      </c>
      <c r="C302" s="11" t="s">
        <v>442</v>
      </c>
      <c r="D302" s="13" t="s">
        <v>443</v>
      </c>
      <c r="E302" s="11"/>
      <c r="F302" s="12">
        <v>17400</v>
      </c>
      <c r="G302" s="12">
        <v>236689.53</v>
      </c>
    </row>
    <row r="303" spans="2:7" ht="29.25" thickBot="1" x14ac:dyDescent="0.3">
      <c r="B303" s="10">
        <v>45910</v>
      </c>
      <c r="C303" s="11" t="s">
        <v>444</v>
      </c>
      <c r="D303" s="13" t="s">
        <v>445</v>
      </c>
      <c r="E303" s="11"/>
      <c r="F303" s="12">
        <v>27085</v>
      </c>
      <c r="G303" s="12">
        <v>263774.53000000003</v>
      </c>
    </row>
    <row r="304" spans="2:7" ht="15.75" thickBot="1" x14ac:dyDescent="0.3">
      <c r="B304" s="10">
        <v>45910</v>
      </c>
      <c r="C304" s="11" t="s">
        <v>27</v>
      </c>
      <c r="D304" s="13">
        <v>483700967</v>
      </c>
      <c r="E304" s="12">
        <v>25320</v>
      </c>
      <c r="F304" s="11"/>
      <c r="G304" s="12">
        <v>238454.53</v>
      </c>
    </row>
    <row r="305" spans="2:7" ht="15.75" thickBot="1" x14ac:dyDescent="0.3">
      <c r="B305" s="10">
        <v>45910</v>
      </c>
      <c r="C305" s="11" t="s">
        <v>27</v>
      </c>
      <c r="D305" s="13">
        <v>483701120</v>
      </c>
      <c r="E305" s="12">
        <v>25320</v>
      </c>
      <c r="F305" s="11"/>
      <c r="G305" s="12">
        <v>213134.53</v>
      </c>
    </row>
    <row r="306" spans="2:7" ht="15.75" thickBot="1" x14ac:dyDescent="0.3">
      <c r="B306" s="10">
        <v>45910</v>
      </c>
      <c r="C306" s="11" t="s">
        <v>27</v>
      </c>
      <c r="D306" s="13">
        <v>483701250</v>
      </c>
      <c r="E306" s="12">
        <v>22000</v>
      </c>
      <c r="F306" s="11"/>
      <c r="G306" s="12">
        <v>191134.53</v>
      </c>
    </row>
    <row r="307" spans="2:7" ht="15.75" thickBot="1" x14ac:dyDescent="0.3">
      <c r="B307" s="10">
        <v>45910</v>
      </c>
      <c r="C307" s="11" t="s">
        <v>27</v>
      </c>
      <c r="D307" s="13">
        <v>483701471</v>
      </c>
      <c r="E307" s="12">
        <v>30000</v>
      </c>
      <c r="F307" s="11"/>
      <c r="G307" s="12">
        <v>161134.53</v>
      </c>
    </row>
    <row r="308" spans="2:7" ht="15.75" thickBot="1" x14ac:dyDescent="0.3">
      <c r="B308" s="10">
        <v>45910</v>
      </c>
      <c r="C308" s="11" t="s">
        <v>446</v>
      </c>
      <c r="D308" s="13">
        <v>483704288</v>
      </c>
      <c r="E308" s="12">
        <v>85000</v>
      </c>
      <c r="F308" s="11"/>
      <c r="G308" s="12">
        <v>76134.53</v>
      </c>
    </row>
    <row r="309" spans="2:7" ht="29.25" thickBot="1" x14ac:dyDescent="0.3">
      <c r="B309" s="10">
        <v>45911</v>
      </c>
      <c r="C309" s="11" t="s">
        <v>447</v>
      </c>
      <c r="D309" s="13" t="s">
        <v>448</v>
      </c>
      <c r="E309" s="11"/>
      <c r="F309" s="12">
        <v>16078</v>
      </c>
      <c r="G309" s="12">
        <v>92212.53</v>
      </c>
    </row>
    <row r="310" spans="2:7" ht="15.75" thickBot="1" x14ac:dyDescent="0.3">
      <c r="B310" s="10">
        <v>45911</v>
      </c>
      <c r="C310" s="11" t="s">
        <v>449</v>
      </c>
      <c r="D310" s="13" t="s">
        <v>450</v>
      </c>
      <c r="E310" s="11"/>
      <c r="F310" s="12">
        <v>44000</v>
      </c>
      <c r="G310" s="12">
        <v>136212.53</v>
      </c>
    </row>
    <row r="311" spans="2:7" ht="29.25" thickBot="1" x14ac:dyDescent="0.3">
      <c r="B311" s="10">
        <v>45912</v>
      </c>
      <c r="C311" s="11" t="s">
        <v>451</v>
      </c>
      <c r="D311" s="13" t="s">
        <v>452</v>
      </c>
      <c r="E311" s="11"/>
      <c r="F311" s="12">
        <v>17449</v>
      </c>
      <c r="G311" s="12">
        <v>153661.53</v>
      </c>
    </row>
    <row r="312" spans="2:7" ht="29.25" thickBot="1" x14ac:dyDescent="0.3">
      <c r="B312" s="10">
        <v>45914</v>
      </c>
      <c r="C312" s="11" t="s">
        <v>453</v>
      </c>
      <c r="D312" s="13" t="s">
        <v>454</v>
      </c>
      <c r="E312" s="11"/>
      <c r="F312" s="12">
        <v>4700</v>
      </c>
      <c r="G312" s="12">
        <v>158361.53</v>
      </c>
    </row>
    <row r="313" spans="2:7" ht="15.75" thickBot="1" x14ac:dyDescent="0.3">
      <c r="B313" s="10">
        <v>45914</v>
      </c>
      <c r="C313" s="11" t="s">
        <v>455</v>
      </c>
      <c r="D313" s="13" t="s">
        <v>456</v>
      </c>
      <c r="E313" s="11"/>
      <c r="F313" s="12">
        <v>55000</v>
      </c>
      <c r="G313" s="12">
        <v>213361.53</v>
      </c>
    </row>
    <row r="314" spans="2:7" ht="29.25" thickBot="1" x14ac:dyDescent="0.3">
      <c r="B314" s="10">
        <v>45915</v>
      </c>
      <c r="C314" s="11" t="s">
        <v>457</v>
      </c>
      <c r="D314" s="13" t="s">
        <v>458</v>
      </c>
      <c r="E314" s="12">
        <v>193600</v>
      </c>
      <c r="F314" s="11"/>
      <c r="G314" s="12">
        <v>19761.53</v>
      </c>
    </row>
    <row r="315" spans="2:7" ht="29.25" thickBot="1" x14ac:dyDescent="0.3">
      <c r="B315" s="10">
        <v>45915</v>
      </c>
      <c r="C315" s="11" t="s">
        <v>459</v>
      </c>
      <c r="D315" s="13" t="s">
        <v>460</v>
      </c>
      <c r="E315" s="11"/>
      <c r="F315" s="12">
        <v>10000</v>
      </c>
      <c r="G315" s="12">
        <v>29761.53</v>
      </c>
    </row>
    <row r="316" spans="2:7" ht="29.25" thickBot="1" x14ac:dyDescent="0.3">
      <c r="B316" s="10">
        <v>45916</v>
      </c>
      <c r="C316" s="11" t="s">
        <v>461</v>
      </c>
      <c r="D316" s="13" t="s">
        <v>462</v>
      </c>
      <c r="E316" s="11"/>
      <c r="F316" s="12">
        <v>12200</v>
      </c>
      <c r="G316" s="12">
        <v>41961.53</v>
      </c>
    </row>
    <row r="317" spans="2:7" ht="15.75" thickBot="1" x14ac:dyDescent="0.3">
      <c r="B317" s="10">
        <v>45916</v>
      </c>
      <c r="C317" s="11" t="s">
        <v>463</v>
      </c>
      <c r="D317" s="13">
        <v>484771944</v>
      </c>
      <c r="E317" s="12">
        <v>27500</v>
      </c>
      <c r="F317" s="11"/>
      <c r="G317" s="12">
        <v>14461.53</v>
      </c>
    </row>
    <row r="318" spans="2:7" ht="15.75" thickBot="1" x14ac:dyDescent="0.3">
      <c r="B318" s="10">
        <v>45916</v>
      </c>
      <c r="C318" s="11" t="s">
        <v>464</v>
      </c>
      <c r="D318" s="13" t="s">
        <v>465</v>
      </c>
      <c r="E318" s="12">
        <v>3000</v>
      </c>
      <c r="F318" s="11"/>
      <c r="G318" s="12">
        <v>11461.53</v>
      </c>
    </row>
    <row r="319" spans="2:7" ht="29.25" thickBot="1" x14ac:dyDescent="0.3">
      <c r="B319" s="10">
        <v>45917</v>
      </c>
      <c r="C319" s="11" t="s">
        <v>466</v>
      </c>
      <c r="D319" s="13" t="s">
        <v>467</v>
      </c>
      <c r="E319" s="11"/>
      <c r="F319" s="12">
        <v>3100</v>
      </c>
      <c r="G319" s="12">
        <v>14561.53</v>
      </c>
    </row>
    <row r="320" spans="2:7" ht="29.25" thickBot="1" x14ac:dyDescent="0.3">
      <c r="B320" s="10">
        <v>45918</v>
      </c>
      <c r="C320" s="11" t="s">
        <v>468</v>
      </c>
      <c r="D320" s="13" t="s">
        <v>469</v>
      </c>
      <c r="E320" s="11"/>
      <c r="F320" s="12">
        <v>11849</v>
      </c>
      <c r="G320" s="12">
        <v>26410.53</v>
      </c>
    </row>
    <row r="321" spans="2:7" ht="29.25" thickBot="1" x14ac:dyDescent="0.3">
      <c r="B321" s="10">
        <v>45918</v>
      </c>
      <c r="C321" s="11" t="s">
        <v>470</v>
      </c>
      <c r="D321" s="13" t="s">
        <v>471</v>
      </c>
      <c r="E321" s="11"/>
      <c r="F321" s="12">
        <v>15000</v>
      </c>
      <c r="G321" s="12">
        <v>41410.53</v>
      </c>
    </row>
    <row r="322" spans="2:7" ht="29.25" thickBot="1" x14ac:dyDescent="0.3">
      <c r="B322" s="10">
        <v>45919</v>
      </c>
      <c r="C322" s="11" t="s">
        <v>472</v>
      </c>
      <c r="D322" s="13" t="s">
        <v>473</v>
      </c>
      <c r="E322" s="11"/>
      <c r="F322" s="12">
        <v>7900</v>
      </c>
      <c r="G322" s="12">
        <v>49310.53</v>
      </c>
    </row>
    <row r="323" spans="2:7" ht="29.25" thickBot="1" x14ac:dyDescent="0.3">
      <c r="B323" s="10">
        <v>45920</v>
      </c>
      <c r="C323" s="11" t="s">
        <v>474</v>
      </c>
      <c r="D323" s="13" t="s">
        <v>475</v>
      </c>
      <c r="E323" s="11"/>
      <c r="F323" s="12">
        <v>10500</v>
      </c>
      <c r="G323" s="12">
        <v>59810.53</v>
      </c>
    </row>
    <row r="324" spans="2:7" ht="15.75" thickBot="1" x14ac:dyDescent="0.3">
      <c r="B324" s="10">
        <v>45920</v>
      </c>
      <c r="C324" s="11" t="s">
        <v>476</v>
      </c>
      <c r="D324" s="13">
        <v>485582574</v>
      </c>
      <c r="E324" s="12">
        <v>5040</v>
      </c>
      <c r="F324" s="11"/>
      <c r="G324" s="12">
        <v>54770.53</v>
      </c>
    </row>
    <row r="325" spans="2:7" ht="15.75" thickBot="1" x14ac:dyDescent="0.3">
      <c r="B325" s="10">
        <v>45920</v>
      </c>
      <c r="C325" s="11" t="s">
        <v>477</v>
      </c>
      <c r="D325" s="13">
        <v>485596979</v>
      </c>
      <c r="E325" s="12">
        <v>5650</v>
      </c>
      <c r="F325" s="11"/>
      <c r="G325" s="12">
        <v>49120.53</v>
      </c>
    </row>
    <row r="326" spans="2:7" ht="15.75" thickBot="1" x14ac:dyDescent="0.3">
      <c r="B326" s="10">
        <v>45920</v>
      </c>
      <c r="C326" s="11" t="s">
        <v>477</v>
      </c>
      <c r="D326" s="13">
        <v>485598705</v>
      </c>
      <c r="E326" s="12">
        <v>5835</v>
      </c>
      <c r="F326" s="11"/>
      <c r="G326" s="12">
        <v>43285.53</v>
      </c>
    </row>
    <row r="327" spans="2:7" ht="15.75" thickBot="1" x14ac:dyDescent="0.3">
      <c r="B327" s="10">
        <v>45920</v>
      </c>
      <c r="C327" s="11" t="s">
        <v>478</v>
      </c>
      <c r="D327" s="13">
        <v>485599096</v>
      </c>
      <c r="E327" s="12">
        <v>5000</v>
      </c>
      <c r="F327" s="11"/>
      <c r="G327" s="12">
        <v>38285.53</v>
      </c>
    </row>
    <row r="328" spans="2:7" ht="15.75" thickBot="1" x14ac:dyDescent="0.3">
      <c r="B328" s="10">
        <v>45920</v>
      </c>
      <c r="C328" s="11" t="s">
        <v>479</v>
      </c>
      <c r="D328" s="13">
        <v>485599317</v>
      </c>
      <c r="E328" s="12">
        <v>5000</v>
      </c>
      <c r="F328" s="11"/>
      <c r="G328" s="12">
        <v>33285.53</v>
      </c>
    </row>
    <row r="329" spans="2:7" ht="15.75" thickBot="1" x14ac:dyDescent="0.3">
      <c r="B329" s="10">
        <v>45920</v>
      </c>
      <c r="C329" s="11" t="s">
        <v>480</v>
      </c>
      <c r="D329" s="13">
        <v>485599919</v>
      </c>
      <c r="E329" s="12">
        <v>5000</v>
      </c>
      <c r="F329" s="11"/>
      <c r="G329" s="12">
        <v>28285.53</v>
      </c>
    </row>
    <row r="330" spans="2:7" ht="15.75" thickBot="1" x14ac:dyDescent="0.3">
      <c r="B330" s="10">
        <v>45920</v>
      </c>
      <c r="C330" s="11" t="s">
        <v>481</v>
      </c>
      <c r="D330" s="13">
        <v>485600816</v>
      </c>
      <c r="E330" s="12">
        <v>7778</v>
      </c>
      <c r="F330" s="11"/>
      <c r="G330" s="12">
        <v>20507.53</v>
      </c>
    </row>
    <row r="331" spans="2:7" ht="15.75" thickBot="1" x14ac:dyDescent="0.3">
      <c r="B331" s="10">
        <v>45920</v>
      </c>
      <c r="C331" s="11" t="s">
        <v>482</v>
      </c>
      <c r="D331" s="13">
        <v>485613157</v>
      </c>
      <c r="E331" s="12">
        <v>1000</v>
      </c>
      <c r="F331" s="11"/>
      <c r="G331" s="12">
        <v>19507.53</v>
      </c>
    </row>
    <row r="332" spans="2:7" ht="15.75" thickBot="1" x14ac:dyDescent="0.3">
      <c r="B332" s="10">
        <v>45920</v>
      </c>
      <c r="C332" s="11" t="s">
        <v>483</v>
      </c>
      <c r="D332" s="13" t="s">
        <v>484</v>
      </c>
      <c r="E332" s="11"/>
      <c r="F332" s="12">
        <v>55000</v>
      </c>
      <c r="G332" s="12">
        <v>74507.53</v>
      </c>
    </row>
    <row r="333" spans="2:7" ht="15.75" thickBot="1" x14ac:dyDescent="0.3">
      <c r="B333" s="10">
        <v>45920</v>
      </c>
      <c r="C333" s="11" t="s">
        <v>485</v>
      </c>
      <c r="D333" s="13">
        <v>485637484</v>
      </c>
      <c r="E333" s="12">
        <v>70000</v>
      </c>
      <c r="F333" s="11"/>
      <c r="G333" s="12">
        <v>4507.53</v>
      </c>
    </row>
    <row r="334" spans="2:7" ht="29.25" thickBot="1" x14ac:dyDescent="0.3">
      <c r="B334" s="10">
        <v>45921</v>
      </c>
      <c r="C334" s="11" t="s">
        <v>486</v>
      </c>
      <c r="D334" s="13" t="s">
        <v>487</v>
      </c>
      <c r="E334" s="11"/>
      <c r="F334" s="12">
        <v>22923</v>
      </c>
      <c r="G334" s="12">
        <v>27430.53</v>
      </c>
    </row>
    <row r="335" spans="2:7" ht="29.25" thickBot="1" x14ac:dyDescent="0.3">
      <c r="B335" s="10">
        <v>45921</v>
      </c>
      <c r="C335" s="11" t="s">
        <v>488</v>
      </c>
      <c r="D335" s="13" t="s">
        <v>489</v>
      </c>
      <c r="E335" s="12">
        <v>8000</v>
      </c>
      <c r="F335" s="11"/>
      <c r="G335" s="12">
        <v>19430.53</v>
      </c>
    </row>
    <row r="336" spans="2:7" ht="29.25" thickBot="1" x14ac:dyDescent="0.3">
      <c r="B336" s="10">
        <v>45922</v>
      </c>
      <c r="C336" s="11" t="s">
        <v>490</v>
      </c>
      <c r="D336" s="13" t="s">
        <v>491</v>
      </c>
      <c r="E336" s="11"/>
      <c r="F336" s="12">
        <v>5000</v>
      </c>
      <c r="G336" s="12">
        <v>24430.53</v>
      </c>
    </row>
    <row r="337" spans="2:7" ht="29.25" thickBot="1" x14ac:dyDescent="0.3">
      <c r="B337" s="10">
        <v>45923</v>
      </c>
      <c r="C337" s="11" t="s">
        <v>492</v>
      </c>
      <c r="D337" s="13" t="s">
        <v>493</v>
      </c>
      <c r="E337" s="11"/>
      <c r="F337" s="12">
        <v>6500</v>
      </c>
      <c r="G337" s="12">
        <v>30930.53</v>
      </c>
    </row>
    <row r="338" spans="2:7" ht="29.25" thickBot="1" x14ac:dyDescent="0.3">
      <c r="B338" s="10">
        <v>45924</v>
      </c>
      <c r="C338" s="11" t="s">
        <v>494</v>
      </c>
      <c r="D338" s="13" t="s">
        <v>495</v>
      </c>
      <c r="E338" s="11"/>
      <c r="F338" s="12">
        <v>9300</v>
      </c>
      <c r="G338" s="12">
        <v>40230.53</v>
      </c>
    </row>
    <row r="339" spans="2:7" ht="29.25" thickBot="1" x14ac:dyDescent="0.3">
      <c r="B339" s="10">
        <v>45925</v>
      </c>
      <c r="C339" s="11" t="s">
        <v>496</v>
      </c>
      <c r="D339" s="13" t="s">
        <v>497</v>
      </c>
      <c r="E339" s="11"/>
      <c r="F339" s="12">
        <v>20240.7</v>
      </c>
      <c r="G339" s="12">
        <v>60471.23</v>
      </c>
    </row>
    <row r="340" spans="2:7" ht="29.25" thickBot="1" x14ac:dyDescent="0.3">
      <c r="B340" s="10">
        <v>45925</v>
      </c>
      <c r="C340" s="11" t="s">
        <v>498</v>
      </c>
      <c r="D340" s="13" t="s">
        <v>499</v>
      </c>
      <c r="E340" s="11"/>
      <c r="F340" s="12">
        <v>25000</v>
      </c>
      <c r="G340" s="12">
        <v>85471.23</v>
      </c>
    </row>
    <row r="341" spans="2:7" ht="29.25" thickBot="1" x14ac:dyDescent="0.3">
      <c r="B341" s="10">
        <v>45926</v>
      </c>
      <c r="C341" s="11" t="s">
        <v>500</v>
      </c>
      <c r="D341" s="13" t="s">
        <v>501</v>
      </c>
      <c r="E341" s="11"/>
      <c r="F341" s="12">
        <v>13500</v>
      </c>
      <c r="G341" s="12">
        <v>98971.23</v>
      </c>
    </row>
    <row r="342" spans="2:7" ht="15.75" thickBot="1" x14ac:dyDescent="0.3">
      <c r="B342" s="10">
        <v>45926</v>
      </c>
      <c r="C342" s="11" t="s">
        <v>502</v>
      </c>
      <c r="D342" s="13">
        <v>486518355</v>
      </c>
      <c r="E342" s="12">
        <v>89056</v>
      </c>
      <c r="F342" s="11"/>
      <c r="G342" s="12">
        <v>9915.23</v>
      </c>
    </row>
    <row r="343" spans="2:7" ht="15.75" thickBot="1" x14ac:dyDescent="0.3">
      <c r="B343" s="10">
        <v>45926</v>
      </c>
      <c r="C343" s="11" t="s">
        <v>503</v>
      </c>
      <c r="D343" s="13" t="s">
        <v>504</v>
      </c>
      <c r="E343" s="11">
        <v>17.7</v>
      </c>
      <c r="F343" s="11"/>
      <c r="G343" s="12">
        <v>9897.5300000000007</v>
      </c>
    </row>
    <row r="344" spans="2:7" ht="29.25" thickBot="1" x14ac:dyDescent="0.3">
      <c r="B344" s="10">
        <v>45927</v>
      </c>
      <c r="C344" s="11" t="s">
        <v>505</v>
      </c>
      <c r="D344" s="13" t="s">
        <v>506</v>
      </c>
      <c r="E344" s="11"/>
      <c r="F344" s="12">
        <v>46900</v>
      </c>
      <c r="G344" s="12">
        <v>56797.53</v>
      </c>
    </row>
    <row r="345" spans="2:7" ht="15.75" thickBot="1" x14ac:dyDescent="0.3">
      <c r="B345" s="10">
        <v>45927</v>
      </c>
      <c r="C345" s="11" t="s">
        <v>507</v>
      </c>
      <c r="D345" s="13" t="s">
        <v>508</v>
      </c>
      <c r="E345" s="12">
        <v>31686</v>
      </c>
      <c r="F345" s="11"/>
      <c r="G345" s="12">
        <v>25111.53</v>
      </c>
    </row>
    <row r="346" spans="2:7" ht="29.25" thickBot="1" x14ac:dyDescent="0.3">
      <c r="B346" s="10">
        <v>45928</v>
      </c>
      <c r="C346" s="11" t="s">
        <v>509</v>
      </c>
      <c r="D346" s="13" t="s">
        <v>510</v>
      </c>
      <c r="E346" s="11"/>
      <c r="F346" s="12">
        <v>13149</v>
      </c>
      <c r="G346" s="12">
        <v>38260.53</v>
      </c>
    </row>
    <row r="347" spans="2:7" ht="15.75" thickBot="1" x14ac:dyDescent="0.3">
      <c r="B347" s="10">
        <v>45929</v>
      </c>
      <c r="C347" s="11" t="s">
        <v>511</v>
      </c>
      <c r="D347" s="13" t="s">
        <v>512</v>
      </c>
      <c r="E347" s="11">
        <v>600</v>
      </c>
      <c r="F347" s="11"/>
      <c r="G347" s="12">
        <v>37660.53</v>
      </c>
    </row>
    <row r="348" spans="2:7" ht="29.25" thickBot="1" x14ac:dyDescent="0.3">
      <c r="B348" s="10">
        <v>45929</v>
      </c>
      <c r="C348" s="11" t="s">
        <v>513</v>
      </c>
      <c r="D348" s="13" t="s">
        <v>514</v>
      </c>
      <c r="E348" s="11"/>
      <c r="F348" s="12">
        <v>9450</v>
      </c>
      <c r="G348" s="12">
        <v>47110.53</v>
      </c>
    </row>
    <row r="349" spans="2:7" ht="29.25" thickBot="1" x14ac:dyDescent="0.3">
      <c r="B349" s="10">
        <v>45930</v>
      </c>
      <c r="C349" s="11" t="s">
        <v>515</v>
      </c>
      <c r="D349" s="13" t="s">
        <v>516</v>
      </c>
      <c r="E349" s="11"/>
      <c r="F349" s="12">
        <v>10432</v>
      </c>
      <c r="G349" s="12">
        <v>57542.53</v>
      </c>
    </row>
    <row r="350" spans="2:7" ht="29.25" thickBot="1" x14ac:dyDescent="0.3">
      <c r="B350" s="10">
        <v>45930</v>
      </c>
      <c r="C350" s="11" t="s">
        <v>64</v>
      </c>
      <c r="D350" s="13">
        <v>487138512</v>
      </c>
      <c r="E350" s="12">
        <v>20000</v>
      </c>
      <c r="F350" s="11"/>
      <c r="G350" s="12">
        <v>37542.53</v>
      </c>
    </row>
    <row r="351" spans="2:7" ht="15.75" thickBot="1" x14ac:dyDescent="0.3">
      <c r="B351" s="10">
        <v>45930</v>
      </c>
      <c r="C351" s="11" t="s">
        <v>517</v>
      </c>
      <c r="D351" s="13" t="s">
        <v>518</v>
      </c>
      <c r="E351" s="11">
        <v>5.9</v>
      </c>
      <c r="F351" s="11"/>
      <c r="G351" s="12">
        <v>37536.629999999997</v>
      </c>
    </row>
    <row r="352" spans="2:7" ht="29.25" thickBot="1" x14ac:dyDescent="0.3">
      <c r="B352" s="10">
        <v>45931</v>
      </c>
      <c r="C352" s="11" t="s">
        <v>519</v>
      </c>
      <c r="D352" s="13" t="s">
        <v>520</v>
      </c>
      <c r="E352" s="11"/>
      <c r="F352" s="12">
        <v>11812</v>
      </c>
      <c r="G352" s="12">
        <v>49348.63</v>
      </c>
    </row>
    <row r="353" spans="2:7" ht="29.25" thickBot="1" x14ac:dyDescent="0.3">
      <c r="B353" s="10">
        <v>45932</v>
      </c>
      <c r="C353" s="11" t="s">
        <v>521</v>
      </c>
      <c r="D353" s="13" t="s">
        <v>522</v>
      </c>
      <c r="E353" s="11"/>
      <c r="F353" s="12">
        <v>25248</v>
      </c>
      <c r="G353" s="12">
        <v>74596.63</v>
      </c>
    </row>
    <row r="354" spans="2:7" ht="15.75" thickBot="1" x14ac:dyDescent="0.3">
      <c r="B354" s="10">
        <v>45932</v>
      </c>
      <c r="C354" s="11" t="s">
        <v>523</v>
      </c>
      <c r="D354" s="13" t="s">
        <v>524</v>
      </c>
      <c r="E354" s="11"/>
      <c r="F354" s="11">
        <v>1</v>
      </c>
      <c r="G354" s="12">
        <v>74597.63</v>
      </c>
    </row>
    <row r="355" spans="2:7" ht="15.75" thickBot="1" x14ac:dyDescent="0.3">
      <c r="B355" s="10">
        <v>45933</v>
      </c>
      <c r="C355" s="11" t="s">
        <v>525</v>
      </c>
      <c r="D355" s="13" t="s">
        <v>526</v>
      </c>
      <c r="E355" s="12">
        <v>2500</v>
      </c>
      <c r="F355" s="11"/>
      <c r="G355" s="12">
        <v>72097.63</v>
      </c>
    </row>
    <row r="356" spans="2:7" ht="15.75" thickBot="1" x14ac:dyDescent="0.3">
      <c r="B356" s="10">
        <v>45933</v>
      </c>
      <c r="C356" s="11" t="s">
        <v>527</v>
      </c>
      <c r="D356" s="13" t="s">
        <v>528</v>
      </c>
      <c r="E356" s="11"/>
      <c r="F356" s="12">
        <v>2700</v>
      </c>
      <c r="G356" s="12">
        <v>74797.63</v>
      </c>
    </row>
    <row r="357" spans="2:7" ht="15.75" thickBot="1" x14ac:dyDescent="0.3">
      <c r="B357" s="10">
        <v>45933</v>
      </c>
      <c r="C357" s="11" t="s">
        <v>529</v>
      </c>
      <c r="D357" s="13" t="s">
        <v>530</v>
      </c>
      <c r="E357" s="11"/>
      <c r="F357" s="12">
        <v>2000</v>
      </c>
      <c r="G357" s="12">
        <v>76797.63</v>
      </c>
    </row>
    <row r="358" spans="2:7" ht="29.25" thickBot="1" x14ac:dyDescent="0.3">
      <c r="B358" s="10">
        <v>45934</v>
      </c>
      <c r="C358" s="11" t="s">
        <v>531</v>
      </c>
      <c r="D358" s="13" t="s">
        <v>532</v>
      </c>
      <c r="E358" s="11"/>
      <c r="F358" s="12">
        <v>5276</v>
      </c>
      <c r="G358" s="12">
        <v>82073.63</v>
      </c>
    </row>
    <row r="359" spans="2:7" ht="15.75" thickBot="1" x14ac:dyDescent="0.3">
      <c r="B359" s="10">
        <v>45934</v>
      </c>
      <c r="C359" s="11" t="s">
        <v>533</v>
      </c>
      <c r="D359" s="13" t="s">
        <v>534</v>
      </c>
      <c r="E359" s="12">
        <v>35574</v>
      </c>
      <c r="F359" s="11"/>
      <c r="G359" s="12">
        <v>46499.63</v>
      </c>
    </row>
    <row r="360" spans="2:7" ht="15.75" thickBot="1" x14ac:dyDescent="0.3">
      <c r="B360" s="10">
        <v>45934</v>
      </c>
      <c r="C360" s="11" t="s">
        <v>535</v>
      </c>
      <c r="D360" s="13" t="s">
        <v>536</v>
      </c>
      <c r="E360" s="11"/>
      <c r="F360" s="12">
        <v>2500</v>
      </c>
      <c r="G360" s="12">
        <v>48999.63</v>
      </c>
    </row>
    <row r="361" spans="2:7" ht="29.25" thickBot="1" x14ac:dyDescent="0.3">
      <c r="B361" s="10">
        <v>45934</v>
      </c>
      <c r="C361" s="11" t="s">
        <v>537</v>
      </c>
      <c r="D361" s="13" t="s">
        <v>538</v>
      </c>
      <c r="E361" s="12">
        <v>10000</v>
      </c>
      <c r="F361" s="11"/>
      <c r="G361" s="12">
        <v>38999.629999999997</v>
      </c>
    </row>
    <row r="362" spans="2:7" ht="29.25" thickBot="1" x14ac:dyDescent="0.3">
      <c r="B362" s="10">
        <v>45936</v>
      </c>
      <c r="C362" s="11" t="s">
        <v>539</v>
      </c>
      <c r="D362" s="13" t="s">
        <v>540</v>
      </c>
      <c r="E362" s="11"/>
      <c r="F362" s="12">
        <v>1880</v>
      </c>
      <c r="G362" s="12">
        <v>40879.629999999997</v>
      </c>
    </row>
    <row r="363" spans="2:7" ht="29.25" thickBot="1" x14ac:dyDescent="0.3">
      <c r="B363" s="10">
        <v>45936</v>
      </c>
      <c r="C363" s="11" t="s">
        <v>541</v>
      </c>
      <c r="D363" s="13">
        <v>527907917821</v>
      </c>
      <c r="E363" s="11"/>
      <c r="F363" s="12">
        <v>39700</v>
      </c>
      <c r="G363" s="12">
        <v>80579.63</v>
      </c>
    </row>
    <row r="364" spans="2:7" ht="29.25" thickBot="1" x14ac:dyDescent="0.3">
      <c r="B364" s="10">
        <v>45936</v>
      </c>
      <c r="C364" s="11" t="s">
        <v>541</v>
      </c>
      <c r="D364" s="13">
        <v>527907917823</v>
      </c>
      <c r="E364" s="11"/>
      <c r="F364" s="11">
        <v>500</v>
      </c>
      <c r="G364" s="12">
        <v>81079.63</v>
      </c>
    </row>
    <row r="365" spans="2:7" ht="29.25" thickBot="1" x14ac:dyDescent="0.3">
      <c r="B365" s="10">
        <v>45936</v>
      </c>
      <c r="C365" s="11" t="s">
        <v>542</v>
      </c>
      <c r="D365" s="13" t="s">
        <v>543</v>
      </c>
      <c r="E365" s="11"/>
      <c r="F365" s="12">
        <v>3000</v>
      </c>
      <c r="G365" s="12">
        <v>84079.63</v>
      </c>
    </row>
    <row r="366" spans="2:7" ht="15.75" thickBot="1" x14ac:dyDescent="0.3">
      <c r="B366" s="10">
        <v>45936</v>
      </c>
      <c r="C366" s="11" t="s">
        <v>544</v>
      </c>
      <c r="D366" s="13" t="s">
        <v>545</v>
      </c>
      <c r="E366" s="11"/>
      <c r="F366" s="12">
        <v>1800</v>
      </c>
      <c r="G366" s="12">
        <v>85879.63</v>
      </c>
    </row>
    <row r="367" spans="2:7" ht="29.25" thickBot="1" x14ac:dyDescent="0.3">
      <c r="B367" s="10">
        <v>45936</v>
      </c>
      <c r="C367" s="11" t="s">
        <v>546</v>
      </c>
      <c r="D367" s="13" t="s">
        <v>547</v>
      </c>
      <c r="E367" s="11"/>
      <c r="F367" s="11">
        <v>300</v>
      </c>
      <c r="G367" s="12">
        <v>86179.63</v>
      </c>
    </row>
    <row r="368" spans="2:7" ht="29.25" thickBot="1" x14ac:dyDescent="0.3">
      <c r="B368" s="10">
        <v>45937</v>
      </c>
      <c r="C368" s="11" t="s">
        <v>548</v>
      </c>
      <c r="D368" s="13" t="s">
        <v>549</v>
      </c>
      <c r="E368" s="11"/>
      <c r="F368" s="12">
        <v>3400</v>
      </c>
      <c r="G368" s="12">
        <v>89579.63</v>
      </c>
    </row>
    <row r="369" spans="2:7" ht="15.75" thickBot="1" x14ac:dyDescent="0.3">
      <c r="B369" s="10">
        <v>45937</v>
      </c>
      <c r="C369" s="11" t="s">
        <v>550</v>
      </c>
      <c r="D369" s="13" t="s">
        <v>551</v>
      </c>
      <c r="E369" s="11"/>
      <c r="F369" s="12">
        <v>5488</v>
      </c>
      <c r="G369" s="12">
        <v>95067.63</v>
      </c>
    </row>
    <row r="370" spans="2:7" ht="29.25" thickBot="1" x14ac:dyDescent="0.3">
      <c r="B370" s="10">
        <v>45937</v>
      </c>
      <c r="C370" s="11" t="s">
        <v>552</v>
      </c>
      <c r="D370" s="13" t="s">
        <v>553</v>
      </c>
      <c r="E370" s="11"/>
      <c r="F370" s="12">
        <v>2000</v>
      </c>
      <c r="G370" s="12">
        <v>97067.63</v>
      </c>
    </row>
    <row r="371" spans="2:7" ht="29.25" thickBot="1" x14ac:dyDescent="0.3">
      <c r="B371" s="10">
        <v>45937</v>
      </c>
      <c r="C371" s="11" t="s">
        <v>554</v>
      </c>
      <c r="D371" s="13" t="s">
        <v>555</v>
      </c>
      <c r="E371" s="11"/>
      <c r="F371" s="11">
        <v>575</v>
      </c>
      <c r="G371" s="12">
        <v>97642.63</v>
      </c>
    </row>
    <row r="372" spans="2:7" ht="15.75" thickBot="1" x14ac:dyDescent="0.3">
      <c r="B372" s="10">
        <v>45937</v>
      </c>
      <c r="C372" s="11" t="s">
        <v>556</v>
      </c>
      <c r="D372" s="13" t="s">
        <v>557</v>
      </c>
      <c r="E372" s="11"/>
      <c r="F372" s="12">
        <v>3000</v>
      </c>
      <c r="G372" s="12">
        <v>100642.63</v>
      </c>
    </row>
    <row r="373" spans="2:7" ht="15.75" thickBot="1" x14ac:dyDescent="0.3">
      <c r="B373" s="10">
        <v>45938</v>
      </c>
      <c r="C373" s="11" t="s">
        <v>558</v>
      </c>
      <c r="D373" s="13" t="s">
        <v>559</v>
      </c>
      <c r="E373" s="11"/>
      <c r="F373" s="12">
        <v>1400</v>
      </c>
      <c r="G373" s="12">
        <v>102042.63</v>
      </c>
    </row>
    <row r="374" spans="2:7" ht="29.25" thickBot="1" x14ac:dyDescent="0.3">
      <c r="B374" s="10">
        <v>45938</v>
      </c>
      <c r="C374" s="11" t="s">
        <v>560</v>
      </c>
      <c r="D374" s="13" t="s">
        <v>561</v>
      </c>
      <c r="E374" s="11"/>
      <c r="F374" s="12">
        <v>2500</v>
      </c>
      <c r="G374" s="12">
        <v>104542.63</v>
      </c>
    </row>
    <row r="375" spans="2:7" ht="15.75" thickBot="1" x14ac:dyDescent="0.3">
      <c r="B375" s="10">
        <v>45938</v>
      </c>
      <c r="C375" s="11" t="s">
        <v>562</v>
      </c>
      <c r="D375" s="13" t="s">
        <v>563</v>
      </c>
      <c r="E375" s="11"/>
      <c r="F375" s="12">
        <v>5000</v>
      </c>
      <c r="G375" s="12">
        <v>109542.63</v>
      </c>
    </row>
    <row r="376" spans="2:7" ht="15.75" thickBot="1" x14ac:dyDescent="0.3">
      <c r="B376" s="10">
        <v>45938</v>
      </c>
      <c r="C376" s="11" t="s">
        <v>564</v>
      </c>
      <c r="D376" s="13" t="s">
        <v>565</v>
      </c>
      <c r="E376" s="11"/>
      <c r="F376" s="12">
        <v>3300</v>
      </c>
      <c r="G376" s="12">
        <v>112842.63</v>
      </c>
    </row>
    <row r="377" spans="2:7" ht="15.75" thickBot="1" x14ac:dyDescent="0.3">
      <c r="B377" s="10">
        <v>45938</v>
      </c>
      <c r="C377" s="11" t="s">
        <v>566</v>
      </c>
      <c r="D377" s="13" t="s">
        <v>567</v>
      </c>
      <c r="E377" s="11"/>
      <c r="F377" s="12">
        <v>2000</v>
      </c>
      <c r="G377" s="12">
        <v>114842.63</v>
      </c>
    </row>
    <row r="378" spans="2:7" ht="29.25" thickBot="1" x14ac:dyDescent="0.3">
      <c r="B378" s="10">
        <v>45938</v>
      </c>
      <c r="C378" s="11" t="s">
        <v>568</v>
      </c>
      <c r="D378" s="13" t="s">
        <v>569</v>
      </c>
      <c r="E378" s="11"/>
      <c r="F378" s="12">
        <v>2500</v>
      </c>
      <c r="G378" s="12">
        <v>117342.63</v>
      </c>
    </row>
    <row r="379" spans="2:7" ht="29.25" thickBot="1" x14ac:dyDescent="0.3">
      <c r="B379" s="10">
        <v>45939</v>
      </c>
      <c r="C379" s="11" t="s">
        <v>570</v>
      </c>
      <c r="D379" s="13" t="s">
        <v>571</v>
      </c>
      <c r="E379" s="11"/>
      <c r="F379" s="12">
        <v>2400</v>
      </c>
      <c r="G379" s="12">
        <v>119742.63</v>
      </c>
    </row>
    <row r="380" spans="2:7" ht="15.75" thickBot="1" x14ac:dyDescent="0.3">
      <c r="B380" s="10">
        <v>45939</v>
      </c>
      <c r="C380" s="11" t="s">
        <v>572</v>
      </c>
      <c r="D380" s="13" t="s">
        <v>573</v>
      </c>
      <c r="E380" s="11"/>
      <c r="F380" s="12">
        <v>2500</v>
      </c>
      <c r="G380" s="12">
        <v>122242.63</v>
      </c>
    </row>
    <row r="381" spans="2:7" ht="29.25" thickBot="1" x14ac:dyDescent="0.3">
      <c r="B381" s="10">
        <v>45939</v>
      </c>
      <c r="C381" s="11" t="s">
        <v>574</v>
      </c>
      <c r="D381" s="13" t="s">
        <v>575</v>
      </c>
      <c r="E381" s="11"/>
      <c r="F381" s="12">
        <v>2000</v>
      </c>
      <c r="G381" s="12">
        <v>124242.63</v>
      </c>
    </row>
    <row r="382" spans="2:7" ht="29.25" thickBot="1" x14ac:dyDescent="0.3">
      <c r="B382" s="10">
        <v>45939</v>
      </c>
      <c r="C382" s="11" t="s">
        <v>576</v>
      </c>
      <c r="D382" s="13" t="s">
        <v>577</v>
      </c>
      <c r="E382" s="11"/>
      <c r="F382" s="11">
        <v>500</v>
      </c>
      <c r="G382" s="12">
        <v>124742.63</v>
      </c>
    </row>
    <row r="383" spans="2:7" ht="15.75" thickBot="1" x14ac:dyDescent="0.3">
      <c r="B383" s="10">
        <v>45940</v>
      </c>
      <c r="C383" s="11" t="s">
        <v>27</v>
      </c>
      <c r="D383" s="13">
        <v>489299148</v>
      </c>
      <c r="E383" s="12">
        <v>25320</v>
      </c>
      <c r="F383" s="11"/>
      <c r="G383" s="12">
        <v>99422.63</v>
      </c>
    </row>
    <row r="384" spans="2:7" ht="15.75" thickBot="1" x14ac:dyDescent="0.3">
      <c r="B384" s="10">
        <v>45940</v>
      </c>
      <c r="C384" s="11" t="s">
        <v>27</v>
      </c>
      <c r="D384" s="13">
        <v>489299467</v>
      </c>
      <c r="E384" s="12">
        <v>25320</v>
      </c>
      <c r="F384" s="11"/>
      <c r="G384" s="12">
        <v>74102.63</v>
      </c>
    </row>
    <row r="385" spans="2:7" ht="29.25" thickBot="1" x14ac:dyDescent="0.3">
      <c r="B385" s="10">
        <v>45940</v>
      </c>
      <c r="C385" s="11" t="s">
        <v>578</v>
      </c>
      <c r="D385" s="13" t="s">
        <v>579</v>
      </c>
      <c r="E385" s="11"/>
      <c r="F385" s="12">
        <v>10000</v>
      </c>
      <c r="G385" s="12">
        <v>84102.63</v>
      </c>
    </row>
    <row r="386" spans="2:7" ht="15.75" thickBot="1" x14ac:dyDescent="0.3">
      <c r="B386" s="10">
        <v>45940</v>
      </c>
      <c r="C386" s="11" t="s">
        <v>27</v>
      </c>
      <c r="D386" s="13">
        <v>489366209</v>
      </c>
      <c r="E386" s="12">
        <v>22000</v>
      </c>
      <c r="F386" s="11"/>
      <c r="G386" s="12">
        <v>62102.63</v>
      </c>
    </row>
    <row r="387" spans="2:7" ht="29.25" thickBot="1" x14ac:dyDescent="0.3">
      <c r="B387" s="10">
        <v>45940</v>
      </c>
      <c r="C387" s="11" t="s">
        <v>580</v>
      </c>
      <c r="D387" s="13" t="s">
        <v>581</v>
      </c>
      <c r="E387" s="11"/>
      <c r="F387" s="12">
        <v>47900</v>
      </c>
      <c r="G387" s="12">
        <v>110002.63</v>
      </c>
    </row>
    <row r="388" spans="2:7" ht="29.25" thickBot="1" x14ac:dyDescent="0.3">
      <c r="B388" s="10">
        <v>45941</v>
      </c>
      <c r="C388" s="11" t="s">
        <v>582</v>
      </c>
      <c r="D388" s="13" t="s">
        <v>583</v>
      </c>
      <c r="E388" s="11"/>
      <c r="F388" s="12">
        <v>2800</v>
      </c>
      <c r="G388" s="12">
        <v>112802.63</v>
      </c>
    </row>
    <row r="389" spans="2:7" ht="29.25" thickBot="1" x14ac:dyDescent="0.3">
      <c r="B389" s="10">
        <v>45941</v>
      </c>
      <c r="C389" s="11" t="s">
        <v>584</v>
      </c>
      <c r="D389" s="13" t="s">
        <v>585</v>
      </c>
      <c r="E389" s="12">
        <v>85000</v>
      </c>
      <c r="F389" s="11"/>
      <c r="G389" s="12">
        <v>27802.63</v>
      </c>
    </row>
    <row r="390" spans="2:7" ht="15.75" thickBot="1" x14ac:dyDescent="0.3">
      <c r="B390" s="10">
        <v>45941</v>
      </c>
      <c r="C390" s="11" t="s">
        <v>586</v>
      </c>
      <c r="D390" s="13" t="s">
        <v>587</v>
      </c>
      <c r="E390" s="11"/>
      <c r="F390" s="12">
        <v>2000</v>
      </c>
      <c r="G390" s="12">
        <v>29802.63</v>
      </c>
    </row>
    <row r="391" spans="2:7" ht="15.75" thickBot="1" x14ac:dyDescent="0.3">
      <c r="B391" s="10">
        <v>45941</v>
      </c>
      <c r="C391" s="11" t="s">
        <v>588</v>
      </c>
      <c r="D391" s="13" t="s">
        <v>589</v>
      </c>
      <c r="E391" s="11"/>
      <c r="F391" s="12">
        <v>5449</v>
      </c>
      <c r="G391" s="12">
        <v>35251.629999999997</v>
      </c>
    </row>
    <row r="392" spans="2:7" ht="15.75" thickBot="1" x14ac:dyDescent="0.3">
      <c r="B392" s="10">
        <v>45941</v>
      </c>
      <c r="C392" s="11" t="s">
        <v>590</v>
      </c>
      <c r="D392" s="13" t="s">
        <v>591</v>
      </c>
      <c r="E392" s="12">
        <v>4158</v>
      </c>
      <c r="F392" s="11"/>
      <c r="G392" s="12">
        <v>31093.63</v>
      </c>
    </row>
    <row r="393" spans="2:7" ht="15.75" thickBot="1" x14ac:dyDescent="0.3">
      <c r="B393" s="10">
        <v>45943</v>
      </c>
      <c r="C393" s="11" t="s">
        <v>592</v>
      </c>
      <c r="D393" s="13" t="s">
        <v>593</v>
      </c>
      <c r="E393" s="11"/>
      <c r="F393" s="12">
        <v>6000</v>
      </c>
      <c r="G393" s="12">
        <v>37093.629999999997</v>
      </c>
    </row>
    <row r="394" spans="2:7" ht="15.75" thickBot="1" x14ac:dyDescent="0.3">
      <c r="B394" s="10">
        <v>45944</v>
      </c>
      <c r="C394" s="11" t="s">
        <v>594</v>
      </c>
      <c r="D394" s="13" t="s">
        <v>595</v>
      </c>
      <c r="E394" s="11"/>
      <c r="F394" s="12">
        <v>2500</v>
      </c>
      <c r="G394" s="12">
        <v>39593.629999999997</v>
      </c>
    </row>
    <row r="395" spans="2:7" ht="29.25" thickBot="1" x14ac:dyDescent="0.3">
      <c r="B395" s="10">
        <v>45944</v>
      </c>
      <c r="C395" s="11" t="s">
        <v>596</v>
      </c>
      <c r="D395" s="13" t="s">
        <v>597</v>
      </c>
      <c r="E395" s="12">
        <v>2500</v>
      </c>
      <c r="F395" s="11"/>
      <c r="G395" s="12">
        <v>37093.629999999997</v>
      </c>
    </row>
    <row r="396" spans="2:7" ht="29.25" thickBot="1" x14ac:dyDescent="0.3">
      <c r="B396" s="10">
        <v>45944</v>
      </c>
      <c r="C396" s="11" t="s">
        <v>598</v>
      </c>
      <c r="D396" s="13" t="s">
        <v>599</v>
      </c>
      <c r="E396" s="12">
        <v>2500</v>
      </c>
      <c r="F396" s="11"/>
      <c r="G396" s="12">
        <v>34593.629999999997</v>
      </c>
    </row>
    <row r="397" spans="2:7" ht="15.75" thickBot="1" x14ac:dyDescent="0.3">
      <c r="B397" s="10">
        <v>45944</v>
      </c>
      <c r="C397" s="11" t="s">
        <v>600</v>
      </c>
      <c r="D397" s="13" t="s">
        <v>601</v>
      </c>
      <c r="E397" s="11"/>
      <c r="F397" s="12">
        <v>3400</v>
      </c>
      <c r="G397" s="12">
        <v>37993.629999999997</v>
      </c>
    </row>
    <row r="398" spans="2:7" ht="29.25" thickBot="1" x14ac:dyDescent="0.3">
      <c r="B398" s="10">
        <v>45944</v>
      </c>
      <c r="C398" s="11" t="s">
        <v>602</v>
      </c>
      <c r="D398" s="13" t="s">
        <v>603</v>
      </c>
      <c r="E398" s="11"/>
      <c r="F398" s="12">
        <v>2900</v>
      </c>
      <c r="G398" s="12">
        <v>40893.629999999997</v>
      </c>
    </row>
    <row r="399" spans="2:7" ht="29.25" thickBot="1" x14ac:dyDescent="0.3">
      <c r="B399" s="10">
        <v>45944</v>
      </c>
      <c r="C399" s="11" t="s">
        <v>604</v>
      </c>
      <c r="D399" s="13" t="s">
        <v>605</v>
      </c>
      <c r="E399" s="11"/>
      <c r="F399" s="12">
        <v>3394</v>
      </c>
      <c r="G399" s="12">
        <v>44287.63</v>
      </c>
    </row>
    <row r="400" spans="2:7" ht="29.25" thickBot="1" x14ac:dyDescent="0.3">
      <c r="B400" s="10">
        <v>45945</v>
      </c>
      <c r="C400" s="11" t="s">
        <v>606</v>
      </c>
      <c r="D400" s="13" t="s">
        <v>607</v>
      </c>
      <c r="E400" s="11"/>
      <c r="F400" s="12">
        <v>2900</v>
      </c>
      <c r="G400" s="12">
        <v>47187.63</v>
      </c>
    </row>
    <row r="401" spans="2:7" ht="15.75" thickBot="1" x14ac:dyDescent="0.3">
      <c r="B401" s="10">
        <v>45945</v>
      </c>
      <c r="C401" s="11" t="s">
        <v>608</v>
      </c>
      <c r="D401" s="13" t="s">
        <v>609</v>
      </c>
      <c r="E401" s="11"/>
      <c r="F401" s="12">
        <v>4800</v>
      </c>
      <c r="G401" s="12">
        <v>51987.63</v>
      </c>
    </row>
    <row r="402" spans="2:7" ht="15.75" thickBot="1" x14ac:dyDescent="0.3">
      <c r="B402" s="10">
        <v>45946</v>
      </c>
      <c r="C402" s="11" t="s">
        <v>610</v>
      </c>
      <c r="D402" s="13">
        <v>490558408</v>
      </c>
      <c r="E402" s="12">
        <v>50000</v>
      </c>
      <c r="F402" s="11"/>
      <c r="G402" s="12">
        <v>1987.63</v>
      </c>
    </row>
    <row r="403" spans="2:7" ht="15.75" thickBot="1" x14ac:dyDescent="0.3">
      <c r="B403" s="10">
        <v>45946</v>
      </c>
      <c r="C403" s="11" t="s">
        <v>611</v>
      </c>
      <c r="D403" s="13" t="s">
        <v>612</v>
      </c>
      <c r="E403" s="11"/>
      <c r="F403" s="12">
        <v>2500</v>
      </c>
      <c r="G403" s="12">
        <v>4487.63</v>
      </c>
    </row>
    <row r="404" spans="2:7" ht="29.25" thickBot="1" x14ac:dyDescent="0.3">
      <c r="B404" s="10">
        <v>45946</v>
      </c>
      <c r="C404" s="11" t="s">
        <v>613</v>
      </c>
      <c r="D404" s="13" t="s">
        <v>614</v>
      </c>
      <c r="E404" s="11"/>
      <c r="F404" s="12">
        <v>2900</v>
      </c>
      <c r="G404" s="12">
        <v>7387.63</v>
      </c>
    </row>
    <row r="405" spans="2:7" ht="29.25" thickBot="1" x14ac:dyDescent="0.3">
      <c r="B405" s="10">
        <v>45948</v>
      </c>
      <c r="C405" s="11" t="s">
        <v>615</v>
      </c>
      <c r="D405" s="13" t="s">
        <v>616</v>
      </c>
      <c r="E405" s="11"/>
      <c r="F405" s="12">
        <v>50000</v>
      </c>
      <c r="G405" s="12">
        <v>57387.63</v>
      </c>
    </row>
    <row r="406" spans="2:7" ht="15.75" thickBot="1" x14ac:dyDescent="0.3">
      <c r="B406" s="10">
        <v>45948</v>
      </c>
      <c r="C406" s="11" t="s">
        <v>610</v>
      </c>
      <c r="D406" s="13">
        <v>491155926</v>
      </c>
      <c r="E406" s="12">
        <v>50000</v>
      </c>
      <c r="F406" s="11"/>
      <c r="G406" s="12">
        <v>7387.63</v>
      </c>
    </row>
    <row r="407" spans="2:7" ht="15.75" thickBot="1" x14ac:dyDescent="0.3">
      <c r="B407" s="10">
        <v>45949</v>
      </c>
      <c r="C407" s="11" t="s">
        <v>617</v>
      </c>
      <c r="D407" s="13" t="s">
        <v>618</v>
      </c>
      <c r="E407" s="11"/>
      <c r="F407" s="12">
        <v>7000</v>
      </c>
      <c r="G407" s="12">
        <v>14387.63</v>
      </c>
    </row>
    <row r="408" spans="2:7" ht="29.25" thickBot="1" x14ac:dyDescent="0.3">
      <c r="B408" s="10">
        <v>45949</v>
      </c>
      <c r="C408" s="11" t="s">
        <v>619</v>
      </c>
      <c r="D408" s="13" t="s">
        <v>620</v>
      </c>
      <c r="E408" s="11"/>
      <c r="F408" s="12">
        <v>5000</v>
      </c>
      <c r="G408" s="12">
        <v>19387.63</v>
      </c>
    </row>
    <row r="409" spans="2:7" ht="29.25" thickBot="1" x14ac:dyDescent="0.3">
      <c r="B409" s="10">
        <v>45949</v>
      </c>
      <c r="C409" s="11" t="s">
        <v>621</v>
      </c>
      <c r="D409" s="13" t="s">
        <v>622</v>
      </c>
      <c r="E409" s="11"/>
      <c r="F409" s="12">
        <v>50000</v>
      </c>
      <c r="G409" s="12">
        <v>69387.63</v>
      </c>
    </row>
    <row r="410" spans="2:7" ht="15.75" thickBot="1" x14ac:dyDescent="0.3">
      <c r="B410" s="10">
        <v>45949</v>
      </c>
      <c r="C410" s="11" t="s">
        <v>623</v>
      </c>
      <c r="D410" s="13">
        <v>491396900</v>
      </c>
      <c r="E410" s="12">
        <v>6555</v>
      </c>
      <c r="F410" s="11"/>
      <c r="G410" s="12">
        <v>62832.63</v>
      </c>
    </row>
    <row r="411" spans="2:7" ht="15.75" thickBot="1" x14ac:dyDescent="0.3">
      <c r="B411" s="10">
        <v>45949</v>
      </c>
      <c r="C411" s="11" t="s">
        <v>624</v>
      </c>
      <c r="D411" s="13">
        <v>491396956</v>
      </c>
      <c r="E411" s="12">
        <v>4000</v>
      </c>
      <c r="F411" s="11"/>
      <c r="G411" s="12">
        <v>58832.63</v>
      </c>
    </row>
    <row r="412" spans="2:7" ht="15.75" thickBot="1" x14ac:dyDescent="0.3">
      <c r="B412" s="10">
        <v>45949</v>
      </c>
      <c r="C412" s="11" t="s">
        <v>623</v>
      </c>
      <c r="D412" s="13">
        <v>491397022</v>
      </c>
      <c r="E412" s="12">
        <v>5890</v>
      </c>
      <c r="F412" s="11"/>
      <c r="G412" s="12">
        <v>52942.63</v>
      </c>
    </row>
    <row r="413" spans="2:7" ht="15.75" thickBot="1" x14ac:dyDescent="0.3">
      <c r="B413" s="10">
        <v>45949</v>
      </c>
      <c r="C413" s="11" t="s">
        <v>625</v>
      </c>
      <c r="D413" s="13">
        <v>491397245</v>
      </c>
      <c r="E413" s="12">
        <v>8503</v>
      </c>
      <c r="F413" s="11"/>
      <c r="G413" s="12">
        <v>44439.63</v>
      </c>
    </row>
    <row r="414" spans="2:7" ht="15.75" thickBot="1" x14ac:dyDescent="0.3">
      <c r="B414" s="10">
        <v>45949</v>
      </c>
      <c r="C414" s="11" t="s">
        <v>626</v>
      </c>
      <c r="D414" s="13">
        <v>491397176</v>
      </c>
      <c r="E414" s="12">
        <v>9760</v>
      </c>
      <c r="F414" s="11"/>
      <c r="G414" s="12">
        <v>34679.629999999997</v>
      </c>
    </row>
    <row r="415" spans="2:7" ht="29.25" thickBot="1" x14ac:dyDescent="0.3">
      <c r="B415" s="10">
        <v>45950</v>
      </c>
      <c r="C415" s="11" t="s">
        <v>136</v>
      </c>
      <c r="D415" s="13">
        <v>491440181</v>
      </c>
      <c r="E415" s="12">
        <v>4000</v>
      </c>
      <c r="F415" s="11"/>
      <c r="G415" s="12">
        <v>30679.63</v>
      </c>
    </row>
    <row r="416" spans="2:7" ht="15.75" thickBot="1" x14ac:dyDescent="0.3">
      <c r="B416" s="10">
        <v>45950</v>
      </c>
      <c r="C416" s="11" t="s">
        <v>627</v>
      </c>
      <c r="D416" s="13" t="s">
        <v>628</v>
      </c>
      <c r="E416" s="12">
        <v>2000</v>
      </c>
      <c r="F416" s="11"/>
      <c r="G416" s="12">
        <v>28679.63</v>
      </c>
    </row>
    <row r="417" spans="1:7" ht="15.75" thickBot="1" x14ac:dyDescent="0.3">
      <c r="B417" s="10">
        <v>45950</v>
      </c>
      <c r="C417" s="11" t="s">
        <v>629</v>
      </c>
      <c r="D417" s="13" t="s">
        <v>630</v>
      </c>
      <c r="E417" s="11"/>
      <c r="F417" s="12">
        <v>2700</v>
      </c>
      <c r="G417" s="12">
        <v>31379.63</v>
      </c>
    </row>
    <row r="418" spans="1:7" ht="29.25" thickBot="1" x14ac:dyDescent="0.3">
      <c r="B418" s="10">
        <v>45951</v>
      </c>
      <c r="C418" s="11" t="s">
        <v>631</v>
      </c>
      <c r="D418" s="13" t="s">
        <v>632</v>
      </c>
      <c r="E418" s="12">
        <v>3000</v>
      </c>
      <c r="F418" s="11"/>
      <c r="G418" s="12">
        <v>28379.63</v>
      </c>
    </row>
    <row r="419" spans="1:7" ht="15.75" thickBot="1" x14ac:dyDescent="0.3">
      <c r="B419" s="10">
        <v>45951</v>
      </c>
      <c r="C419" s="11" t="s">
        <v>633</v>
      </c>
      <c r="D419" s="13" t="s">
        <v>634</v>
      </c>
      <c r="E419" s="11"/>
      <c r="F419" s="12">
        <v>21400</v>
      </c>
      <c r="G419" s="12">
        <v>49779.63</v>
      </c>
    </row>
    <row r="420" spans="1:7" ht="29.25" thickBot="1" x14ac:dyDescent="0.3">
      <c r="B420" s="10">
        <v>45952</v>
      </c>
      <c r="C420" s="11" t="s">
        <v>635</v>
      </c>
      <c r="D420" s="13" t="s">
        <v>636</v>
      </c>
      <c r="E420" s="11"/>
      <c r="F420" s="12">
        <v>4657.96</v>
      </c>
      <c r="G420" s="12">
        <v>54437.59</v>
      </c>
    </row>
    <row r="421" spans="1:7" ht="15.75" thickBot="1" x14ac:dyDescent="0.3">
      <c r="B421" s="10">
        <v>45954</v>
      </c>
      <c r="C421" s="11" t="s">
        <v>637</v>
      </c>
      <c r="D421" s="13">
        <v>491926659</v>
      </c>
      <c r="E421" s="12">
        <v>10318</v>
      </c>
      <c r="F421" s="11"/>
      <c r="G421" s="12">
        <v>44119.59</v>
      </c>
    </row>
    <row r="422" spans="1:7" ht="15.75" thickBot="1" x14ac:dyDescent="0.3">
      <c r="B422" s="10">
        <v>45957</v>
      </c>
      <c r="C422" s="11" t="s">
        <v>638</v>
      </c>
      <c r="D422" s="13" t="s">
        <v>639</v>
      </c>
      <c r="E422" s="11">
        <v>5.9</v>
      </c>
      <c r="F422" s="11"/>
      <c r="G422" s="12">
        <v>44113.69</v>
      </c>
    </row>
    <row r="423" spans="1:7" ht="15.75" thickBot="1" x14ac:dyDescent="0.3">
      <c r="B423" s="10">
        <v>45957</v>
      </c>
      <c r="C423" s="11" t="s">
        <v>640</v>
      </c>
      <c r="D423" s="13" t="s">
        <v>641</v>
      </c>
      <c r="E423" s="11">
        <v>5.9</v>
      </c>
      <c r="F423" s="11"/>
      <c r="G423" s="12">
        <v>44107.79</v>
      </c>
    </row>
    <row r="424" spans="1:7" ht="15.75" thickBot="1" x14ac:dyDescent="0.3">
      <c r="B424" s="10">
        <v>45958</v>
      </c>
      <c r="C424" s="11" t="s">
        <v>642</v>
      </c>
      <c r="D424" s="13" t="s">
        <v>643</v>
      </c>
      <c r="E424" s="11"/>
      <c r="F424" s="12">
        <v>3400</v>
      </c>
      <c r="G424" s="12">
        <v>47507.79</v>
      </c>
    </row>
    <row r="425" spans="1:7" ht="29.25" thickBot="1" x14ac:dyDescent="0.3">
      <c r="B425" s="10">
        <v>45958</v>
      </c>
      <c r="C425" s="11" t="s">
        <v>644</v>
      </c>
      <c r="D425" s="13" t="s">
        <v>645</v>
      </c>
      <c r="E425" s="11"/>
      <c r="F425" s="12">
        <v>10498</v>
      </c>
      <c r="G425" s="12">
        <v>58005.79</v>
      </c>
    </row>
    <row r="426" spans="1:7" ht="29.25" thickBot="1" x14ac:dyDescent="0.3">
      <c r="B426" s="10">
        <v>45959</v>
      </c>
      <c r="C426" s="11" t="s">
        <v>646</v>
      </c>
      <c r="D426" s="13" t="s">
        <v>647</v>
      </c>
      <c r="E426" s="11"/>
      <c r="F426" s="12">
        <v>9999</v>
      </c>
      <c r="G426" s="12">
        <v>68004.789999999994</v>
      </c>
    </row>
    <row r="427" spans="1:7" ht="29.25" thickBot="1" x14ac:dyDescent="0.3">
      <c r="B427" s="10">
        <v>45959</v>
      </c>
      <c r="C427" s="11" t="s">
        <v>648</v>
      </c>
      <c r="D427" s="13" t="s">
        <v>649</v>
      </c>
      <c r="E427" s="12">
        <v>2000</v>
      </c>
      <c r="F427" s="11"/>
      <c r="G427" s="12">
        <v>66004.789999999994</v>
      </c>
    </row>
    <row r="428" spans="1:7" ht="29.25" thickBot="1" x14ac:dyDescent="0.3">
      <c r="B428" s="10">
        <v>45959</v>
      </c>
      <c r="C428" s="11" t="s">
        <v>650</v>
      </c>
      <c r="D428" s="13" t="s">
        <v>651</v>
      </c>
      <c r="E428" s="12">
        <v>3400</v>
      </c>
      <c r="F428" s="11"/>
      <c r="G428" s="12">
        <v>62604.79</v>
      </c>
    </row>
    <row r="429" spans="1:7" ht="29.25" thickBot="1" x14ac:dyDescent="0.3">
      <c r="B429" s="10">
        <v>45961</v>
      </c>
      <c r="C429" s="11" t="s">
        <v>652</v>
      </c>
      <c r="D429" s="13" t="s">
        <v>653</v>
      </c>
      <c r="E429" s="11"/>
      <c r="F429" s="12">
        <v>14500.04</v>
      </c>
      <c r="G429" s="12">
        <v>77104.83</v>
      </c>
    </row>
    <row r="430" spans="1:7" s="17" customFormat="1" x14ac:dyDescent="0.25">
      <c r="A430" s="14"/>
      <c r="B430" s="15" t="s">
        <v>0</v>
      </c>
      <c r="C430" s="14" t="s">
        <v>1</v>
      </c>
      <c r="D430" s="16" t="s">
        <v>2</v>
      </c>
      <c r="E430" s="14" t="s">
        <v>3</v>
      </c>
      <c r="F430" s="14" t="s">
        <v>4</v>
      </c>
      <c r="G430" s="14" t="s">
        <v>5</v>
      </c>
    </row>
    <row r="431" spans="1:7" x14ac:dyDescent="0.25">
      <c r="B431" s="9">
        <v>45962</v>
      </c>
      <c r="C431" s="3" t="s">
        <v>654</v>
      </c>
      <c r="D431" s="6" t="s">
        <v>655</v>
      </c>
      <c r="F431" s="3">
        <v>1</v>
      </c>
      <c r="G431" s="18">
        <v>77105.83</v>
      </c>
    </row>
    <row r="432" spans="1:7" x14ac:dyDescent="0.25">
      <c r="B432" s="9">
        <v>45962</v>
      </c>
      <c r="C432" s="3" t="s">
        <v>656</v>
      </c>
      <c r="D432" s="6" t="s">
        <v>657</v>
      </c>
      <c r="F432" s="3">
        <v>1</v>
      </c>
      <c r="G432" s="18">
        <v>77106.83</v>
      </c>
    </row>
    <row r="433" spans="2:7" x14ac:dyDescent="0.25">
      <c r="B433" s="9">
        <v>45962</v>
      </c>
      <c r="C433" s="3" t="s">
        <v>658</v>
      </c>
      <c r="D433" s="6" t="s">
        <v>659</v>
      </c>
      <c r="F433" s="18">
        <v>18300</v>
      </c>
      <c r="G433" s="18">
        <v>95406.83</v>
      </c>
    </row>
    <row r="434" spans="2:7" x14ac:dyDescent="0.25">
      <c r="B434" s="9">
        <v>45965</v>
      </c>
      <c r="C434" s="3" t="s">
        <v>660</v>
      </c>
      <c r="D434" s="6" t="s">
        <v>661</v>
      </c>
      <c r="F434" s="18">
        <v>9342</v>
      </c>
      <c r="G434" s="18">
        <v>104748.83</v>
      </c>
    </row>
    <row r="435" spans="2:7" x14ac:dyDescent="0.25">
      <c r="B435" s="9">
        <v>45965</v>
      </c>
      <c r="C435" s="3" t="s">
        <v>662</v>
      </c>
      <c r="D435" s="6" t="s">
        <v>663</v>
      </c>
      <c r="E435" s="3">
        <v>584</v>
      </c>
      <c r="G435" s="18">
        <v>104164.83</v>
      </c>
    </row>
    <row r="436" spans="2:7" x14ac:dyDescent="0.25">
      <c r="B436" s="9">
        <v>45967</v>
      </c>
      <c r="C436" s="3" t="s">
        <v>664</v>
      </c>
      <c r="D436" s="6" t="s">
        <v>665</v>
      </c>
      <c r="F436" s="18">
        <v>3000</v>
      </c>
      <c r="G436" s="18">
        <v>107164.83</v>
      </c>
    </row>
    <row r="437" spans="2:7" x14ac:dyDescent="0.25">
      <c r="B437" s="9">
        <v>45967</v>
      </c>
      <c r="C437" s="3" t="s">
        <v>666</v>
      </c>
      <c r="D437" s="6" t="s">
        <v>667</v>
      </c>
      <c r="F437" s="18">
        <v>5249</v>
      </c>
      <c r="G437" s="18">
        <v>112413.83</v>
      </c>
    </row>
    <row r="438" spans="2:7" x14ac:dyDescent="0.25">
      <c r="B438" s="9">
        <v>45968</v>
      </c>
      <c r="C438" s="3" t="s">
        <v>668</v>
      </c>
      <c r="D438" s="6" t="s">
        <v>669</v>
      </c>
      <c r="F438" s="18">
        <v>4950</v>
      </c>
      <c r="G438" s="18">
        <v>117363.83</v>
      </c>
    </row>
    <row r="439" spans="2:7" x14ac:dyDescent="0.25">
      <c r="B439" s="9">
        <v>45970</v>
      </c>
      <c r="C439" s="3" t="s">
        <v>670</v>
      </c>
      <c r="D439" s="6" t="s">
        <v>671</v>
      </c>
      <c r="F439" s="18">
        <v>5600</v>
      </c>
      <c r="G439" s="18">
        <v>122963.83</v>
      </c>
    </row>
    <row r="440" spans="2:7" x14ac:dyDescent="0.25">
      <c r="B440" s="9">
        <v>45970</v>
      </c>
      <c r="C440" s="3" t="s">
        <v>672</v>
      </c>
      <c r="D440" s="6">
        <v>494708965</v>
      </c>
      <c r="E440" s="18">
        <v>2500</v>
      </c>
      <c r="G440" s="18">
        <v>120463.83</v>
      </c>
    </row>
    <row r="441" spans="2:7" x14ac:dyDescent="0.25">
      <c r="B441" s="9">
        <v>45971</v>
      </c>
      <c r="C441" s="3" t="s">
        <v>673</v>
      </c>
      <c r="D441" s="6" t="s">
        <v>674</v>
      </c>
      <c r="F441" s="18">
        <v>35000</v>
      </c>
      <c r="G441" s="18">
        <v>155463.82999999999</v>
      </c>
    </row>
    <row r="442" spans="2:7" x14ac:dyDescent="0.25">
      <c r="B442" s="9">
        <v>45972</v>
      </c>
      <c r="C442" s="3" t="s">
        <v>675</v>
      </c>
      <c r="D442" s="6">
        <v>495140332</v>
      </c>
      <c r="E442" s="18">
        <v>50000</v>
      </c>
      <c r="G442" s="18">
        <v>105463.83</v>
      </c>
    </row>
    <row r="443" spans="2:7" x14ac:dyDescent="0.25">
      <c r="B443" s="9">
        <v>45973</v>
      </c>
      <c r="C443" s="3" t="s">
        <v>676</v>
      </c>
      <c r="D443" s="6" t="s">
        <v>677</v>
      </c>
      <c r="F443" s="18">
        <v>5600</v>
      </c>
      <c r="G443" s="18">
        <v>111063.83</v>
      </c>
    </row>
    <row r="444" spans="2:7" x14ac:dyDescent="0.25">
      <c r="B444" s="9">
        <v>45974</v>
      </c>
      <c r="C444" s="3" t="s">
        <v>678</v>
      </c>
      <c r="D444" s="6" t="s">
        <v>679</v>
      </c>
      <c r="F444" s="18">
        <v>5600</v>
      </c>
      <c r="G444" s="18">
        <v>116663.83</v>
      </c>
    </row>
    <row r="445" spans="2:7" x14ac:dyDescent="0.25">
      <c r="B445" s="9">
        <v>45974</v>
      </c>
      <c r="C445" s="3" t="s">
        <v>680</v>
      </c>
      <c r="D445" s="6" t="s">
        <v>681</v>
      </c>
      <c r="F445" s="18">
        <v>4671</v>
      </c>
      <c r="G445" s="18">
        <v>121334.83</v>
      </c>
    </row>
    <row r="446" spans="2:7" x14ac:dyDescent="0.25">
      <c r="B446" s="9">
        <v>45975</v>
      </c>
      <c r="C446" s="3" t="s">
        <v>682</v>
      </c>
      <c r="D446" s="6" t="s">
        <v>683</v>
      </c>
      <c r="E446" s="18">
        <v>71200</v>
      </c>
      <c r="G446" s="18">
        <v>50134.83</v>
      </c>
    </row>
    <row r="447" spans="2:7" x14ac:dyDescent="0.25">
      <c r="B447" s="9">
        <v>45976</v>
      </c>
      <c r="C447" s="3" t="s">
        <v>684</v>
      </c>
      <c r="D447" s="6" t="s">
        <v>685</v>
      </c>
      <c r="F447" s="18">
        <v>5549</v>
      </c>
      <c r="G447" s="18">
        <v>55683.83</v>
      </c>
    </row>
    <row r="448" spans="2:7" x14ac:dyDescent="0.25">
      <c r="B448" s="9">
        <v>45978</v>
      </c>
      <c r="C448" s="3" t="s">
        <v>686</v>
      </c>
      <c r="D448" s="6" t="s">
        <v>687</v>
      </c>
      <c r="F448" s="18">
        <v>5000</v>
      </c>
      <c r="G448" s="18">
        <v>60683.83</v>
      </c>
    </row>
    <row r="449" spans="2:7" x14ac:dyDescent="0.25">
      <c r="B449" s="9">
        <v>45978</v>
      </c>
      <c r="C449" s="3" t="s">
        <v>688</v>
      </c>
      <c r="D449" s="6">
        <v>496289946</v>
      </c>
      <c r="E449" s="3">
        <v>600</v>
      </c>
      <c r="G449" s="18">
        <v>60083.83</v>
      </c>
    </row>
    <row r="450" spans="2:7" x14ac:dyDescent="0.25">
      <c r="B450" s="9">
        <v>45979</v>
      </c>
      <c r="C450" s="3" t="s">
        <v>689</v>
      </c>
      <c r="D450" s="6" t="s">
        <v>690</v>
      </c>
      <c r="F450" s="18">
        <v>5249</v>
      </c>
      <c r="G450" s="18">
        <v>65332.83</v>
      </c>
    </row>
    <row r="451" spans="2:7" x14ac:dyDescent="0.25">
      <c r="B451" s="9">
        <v>45981</v>
      </c>
      <c r="C451" s="3" t="s">
        <v>691</v>
      </c>
      <c r="D451" s="6" t="s">
        <v>692</v>
      </c>
      <c r="E451" s="18">
        <v>1000</v>
      </c>
      <c r="G451" s="18">
        <v>64332.83</v>
      </c>
    </row>
    <row r="452" spans="2:7" x14ac:dyDescent="0.25">
      <c r="B452" s="9">
        <v>45981</v>
      </c>
      <c r="C452" s="3" t="s">
        <v>693</v>
      </c>
      <c r="D452" s="6" t="s">
        <v>694</v>
      </c>
      <c r="E452" s="3">
        <v>756</v>
      </c>
      <c r="G452" s="18">
        <v>63576.83</v>
      </c>
    </row>
    <row r="453" spans="2:7" x14ac:dyDescent="0.25">
      <c r="B453" s="9">
        <v>45982</v>
      </c>
      <c r="C453" s="3" t="s">
        <v>695</v>
      </c>
      <c r="D453" s="6" t="s">
        <v>696</v>
      </c>
      <c r="F453" s="18">
        <v>9999</v>
      </c>
      <c r="G453" s="18">
        <v>73575.83</v>
      </c>
    </row>
    <row r="454" spans="2:7" x14ac:dyDescent="0.25">
      <c r="B454" s="9">
        <v>45982</v>
      </c>
      <c r="C454" s="3" t="s">
        <v>697</v>
      </c>
      <c r="D454" s="6" t="s">
        <v>698</v>
      </c>
      <c r="F454" s="3">
        <v>1</v>
      </c>
      <c r="G454" s="18">
        <v>73576.83</v>
      </c>
    </row>
    <row r="455" spans="2:7" x14ac:dyDescent="0.25">
      <c r="B455" s="9">
        <v>45982</v>
      </c>
      <c r="C455" s="3" t="s">
        <v>699</v>
      </c>
      <c r="D455" s="6" t="s">
        <v>700</v>
      </c>
      <c r="F455" s="18">
        <v>4671</v>
      </c>
      <c r="G455" s="18">
        <v>78247.83</v>
      </c>
    </row>
    <row r="456" spans="2:7" x14ac:dyDescent="0.25">
      <c r="B456" s="9">
        <v>45982</v>
      </c>
      <c r="C456" s="3" t="s">
        <v>64</v>
      </c>
      <c r="D456" s="6">
        <v>497071618</v>
      </c>
      <c r="E456" s="18">
        <v>5138</v>
      </c>
      <c r="G456" s="18">
        <v>73109.83</v>
      </c>
    </row>
    <row r="457" spans="2:7" x14ac:dyDescent="0.25">
      <c r="B457" s="9">
        <v>45985</v>
      </c>
      <c r="C457" s="3" t="s">
        <v>701</v>
      </c>
      <c r="D457" s="6" t="s">
        <v>702</v>
      </c>
      <c r="E457" s="18">
        <v>5138</v>
      </c>
      <c r="G457" s="18">
        <v>67971.83</v>
      </c>
    </row>
    <row r="458" spans="2:7" x14ac:dyDescent="0.25">
      <c r="B458" s="9">
        <v>45985</v>
      </c>
      <c r="C458" s="3" t="s">
        <v>703</v>
      </c>
      <c r="D458" s="6" t="s">
        <v>704</v>
      </c>
      <c r="E458" s="18">
        <v>5138</v>
      </c>
      <c r="G458" s="18">
        <v>62833.83</v>
      </c>
    </row>
    <row r="459" spans="2:7" x14ac:dyDescent="0.25">
      <c r="B459" s="9">
        <v>45985</v>
      </c>
      <c r="C459" s="3" t="s">
        <v>705</v>
      </c>
      <c r="D459" s="6" t="s">
        <v>706</v>
      </c>
      <c r="E459" s="18">
        <v>5138</v>
      </c>
      <c r="G459" s="18">
        <v>57695.83</v>
      </c>
    </row>
    <row r="460" spans="2:7" x14ac:dyDescent="0.25">
      <c r="B460" s="9">
        <v>45985</v>
      </c>
      <c r="C460" s="3" t="s">
        <v>707</v>
      </c>
      <c r="D460" s="6" t="s">
        <v>708</v>
      </c>
      <c r="E460" s="18">
        <v>5138</v>
      </c>
      <c r="G460" s="18">
        <v>52557.83</v>
      </c>
    </row>
    <row r="461" spans="2:7" x14ac:dyDescent="0.25">
      <c r="B461" s="9">
        <v>45985</v>
      </c>
      <c r="C461" s="3" t="s">
        <v>709</v>
      </c>
      <c r="D461" s="6" t="s">
        <v>710</v>
      </c>
      <c r="E461" s="18">
        <v>5138</v>
      </c>
      <c r="G461" s="18">
        <v>47419.83</v>
      </c>
    </row>
    <row r="462" spans="2:7" x14ac:dyDescent="0.25">
      <c r="B462" s="9">
        <v>45985</v>
      </c>
      <c r="C462" s="3" t="s">
        <v>711</v>
      </c>
      <c r="D462" s="6" t="s">
        <v>712</v>
      </c>
      <c r="F462" s="18">
        <v>15747</v>
      </c>
      <c r="G462" s="18">
        <v>63166.83</v>
      </c>
    </row>
    <row r="463" spans="2:7" x14ac:dyDescent="0.25">
      <c r="B463" s="9">
        <v>45985</v>
      </c>
      <c r="C463" s="3" t="s">
        <v>713</v>
      </c>
      <c r="D463" s="6" t="s">
        <v>714</v>
      </c>
      <c r="F463" s="18">
        <v>8735</v>
      </c>
      <c r="G463" s="18">
        <v>71901.83</v>
      </c>
    </row>
    <row r="464" spans="2:7" x14ac:dyDescent="0.25">
      <c r="B464" s="9">
        <v>45986</v>
      </c>
      <c r="C464" s="3" t="s">
        <v>150</v>
      </c>
      <c r="D464" s="6">
        <v>497481149</v>
      </c>
      <c r="E464" s="18">
        <v>5138</v>
      </c>
      <c r="G464" s="18">
        <v>66763.83</v>
      </c>
    </row>
    <row r="465" spans="2:7" x14ac:dyDescent="0.25">
      <c r="B465" s="9">
        <v>45986</v>
      </c>
      <c r="C465" s="3" t="s">
        <v>715</v>
      </c>
      <c r="D465" s="6" t="s">
        <v>716</v>
      </c>
      <c r="E465" s="18">
        <v>5138</v>
      </c>
      <c r="G465" s="18">
        <v>61625.83</v>
      </c>
    </row>
    <row r="466" spans="2:7" x14ac:dyDescent="0.25">
      <c r="B466" s="9">
        <v>45986</v>
      </c>
      <c r="C466" s="3" t="s">
        <v>717</v>
      </c>
      <c r="D466" s="6" t="s">
        <v>718</v>
      </c>
      <c r="E466" s="18">
        <v>10276</v>
      </c>
      <c r="G466" s="18">
        <v>51349.83</v>
      </c>
    </row>
    <row r="467" spans="2:7" x14ac:dyDescent="0.25">
      <c r="B467" s="9">
        <v>45987</v>
      </c>
      <c r="C467" s="3" t="s">
        <v>719</v>
      </c>
      <c r="D467" s="6" t="s">
        <v>720</v>
      </c>
      <c r="F467" s="18">
        <v>5000</v>
      </c>
      <c r="G467" s="18">
        <v>56349.83</v>
      </c>
    </row>
    <row r="468" spans="2:7" x14ac:dyDescent="0.25">
      <c r="B468" s="9">
        <v>45988</v>
      </c>
      <c r="C468" s="3" t="s">
        <v>721</v>
      </c>
      <c r="D468" s="6">
        <v>497874161</v>
      </c>
      <c r="E468" s="18">
        <v>34280</v>
      </c>
      <c r="G468" s="18">
        <v>22069.83</v>
      </c>
    </row>
    <row r="469" spans="2:7" x14ac:dyDescent="0.25">
      <c r="B469" s="9">
        <v>45989</v>
      </c>
      <c r="C469" s="3" t="s">
        <v>722</v>
      </c>
      <c r="D469" s="6" t="s">
        <v>723</v>
      </c>
      <c r="E469" s="18">
        <v>10276</v>
      </c>
      <c r="G469" s="18">
        <v>11793.83</v>
      </c>
    </row>
    <row r="470" spans="2:7" x14ac:dyDescent="0.25">
      <c r="B470" s="9">
        <v>45989</v>
      </c>
      <c r="C470" s="3" t="s">
        <v>724</v>
      </c>
      <c r="D470" s="6" t="s">
        <v>725</v>
      </c>
      <c r="F470" s="3">
        <v>630</v>
      </c>
      <c r="G470" s="18">
        <v>12423.83</v>
      </c>
    </row>
    <row r="471" spans="2:7" x14ac:dyDescent="0.25">
      <c r="B471" s="9">
        <v>45991</v>
      </c>
      <c r="C471" s="3" t="s">
        <v>726</v>
      </c>
      <c r="D471" s="6" t="s">
        <v>727</v>
      </c>
      <c r="E471" s="18">
        <v>5138</v>
      </c>
      <c r="G471" s="18">
        <v>7285.83</v>
      </c>
    </row>
    <row r="472" spans="2:7" x14ac:dyDescent="0.25">
      <c r="B472" s="9">
        <v>45992</v>
      </c>
      <c r="C472" s="3" t="s">
        <v>728</v>
      </c>
      <c r="D472" s="6" t="s">
        <v>729</v>
      </c>
      <c r="F472" s="18">
        <v>30000</v>
      </c>
      <c r="G472" s="18">
        <v>37285.83</v>
      </c>
    </row>
    <row r="473" spans="2:7" x14ac:dyDescent="0.25">
      <c r="B473" s="9">
        <v>45992</v>
      </c>
      <c r="C473" s="3" t="s">
        <v>730</v>
      </c>
      <c r="D473" s="6" t="s">
        <v>731</v>
      </c>
      <c r="E473" s="18">
        <v>30000</v>
      </c>
      <c r="G473" s="18">
        <v>7285.83</v>
      </c>
    </row>
    <row r="474" spans="2:7" x14ac:dyDescent="0.25">
      <c r="B474" s="9">
        <v>45994</v>
      </c>
      <c r="C474" s="3" t="s">
        <v>64</v>
      </c>
      <c r="D474" s="6">
        <v>499010830</v>
      </c>
      <c r="E474" s="18">
        <v>5138</v>
      </c>
      <c r="G474" s="18">
        <v>2147.83</v>
      </c>
    </row>
    <row r="475" spans="2:7" x14ac:dyDescent="0.25">
      <c r="B475" s="9">
        <v>45994</v>
      </c>
      <c r="C475" s="3" t="s">
        <v>732</v>
      </c>
      <c r="D475" s="6" t="s">
        <v>733</v>
      </c>
      <c r="F475" s="18">
        <v>4500</v>
      </c>
      <c r="G475" s="18">
        <v>6647.83</v>
      </c>
    </row>
    <row r="476" spans="2:7" x14ac:dyDescent="0.25">
      <c r="B476" s="9">
        <v>45996</v>
      </c>
      <c r="C476" s="3" t="s">
        <v>734</v>
      </c>
      <c r="D476" s="6" t="s">
        <v>735</v>
      </c>
      <c r="F476" s="18">
        <v>4671</v>
      </c>
      <c r="G476" s="18">
        <v>11318.83</v>
      </c>
    </row>
    <row r="477" spans="2:7" x14ac:dyDescent="0.25">
      <c r="B477" s="9">
        <v>45999</v>
      </c>
      <c r="C477" s="3" t="s">
        <v>736</v>
      </c>
      <c r="D477" s="6" t="s">
        <v>737</v>
      </c>
      <c r="E477" s="18">
        <v>1000</v>
      </c>
      <c r="G477" s="18">
        <v>10318.83</v>
      </c>
    </row>
    <row r="478" spans="2:7" x14ac:dyDescent="0.25">
      <c r="B478" s="9">
        <v>46000</v>
      </c>
      <c r="C478" s="3" t="s">
        <v>738</v>
      </c>
      <c r="D478" s="6" t="s">
        <v>739</v>
      </c>
      <c r="F478" s="18">
        <v>1950</v>
      </c>
      <c r="G478" s="18">
        <v>12268.83</v>
      </c>
    </row>
    <row r="479" spans="2:7" x14ac:dyDescent="0.25">
      <c r="B479" s="9">
        <v>46002</v>
      </c>
      <c r="C479" s="3" t="s">
        <v>740</v>
      </c>
      <c r="D479" s="6" t="s">
        <v>741</v>
      </c>
      <c r="E479" s="3">
        <v>818</v>
      </c>
      <c r="G479" s="18">
        <v>11450.83</v>
      </c>
    </row>
    <row r="480" spans="2:7" x14ac:dyDescent="0.25">
      <c r="B480" s="9">
        <v>46004</v>
      </c>
      <c r="C480" s="3" t="s">
        <v>742</v>
      </c>
      <c r="D480" s="6" t="s">
        <v>743</v>
      </c>
      <c r="F480" s="18">
        <v>25690</v>
      </c>
      <c r="G480" s="18">
        <v>37140.83</v>
      </c>
    </row>
    <row r="481" spans="2:7" x14ac:dyDescent="0.25">
      <c r="B481" s="9">
        <v>46006</v>
      </c>
      <c r="C481" s="3" t="s">
        <v>744</v>
      </c>
      <c r="D481" s="6" t="s">
        <v>745</v>
      </c>
      <c r="F481" s="18">
        <v>5000</v>
      </c>
      <c r="G481" s="18">
        <v>42140.83</v>
      </c>
    </row>
    <row r="482" spans="2:7" x14ac:dyDescent="0.25">
      <c r="B482" s="9">
        <v>46011</v>
      </c>
      <c r="C482" s="3" t="s">
        <v>746</v>
      </c>
      <c r="D482" s="6" t="s">
        <v>747</v>
      </c>
      <c r="F482" s="18">
        <v>4821</v>
      </c>
      <c r="G482" s="18">
        <v>46961.83</v>
      </c>
    </row>
    <row r="483" spans="2:7" x14ac:dyDescent="0.25">
      <c r="B483" s="9">
        <v>46011</v>
      </c>
      <c r="C483" s="3" t="s">
        <v>748</v>
      </c>
      <c r="D483" s="6" t="s">
        <v>749</v>
      </c>
      <c r="E483" s="3">
        <v>579</v>
      </c>
      <c r="G483" s="18">
        <v>46382.83</v>
      </c>
    </row>
    <row r="484" spans="2:7" x14ac:dyDescent="0.25">
      <c r="B484" s="9">
        <v>46011</v>
      </c>
      <c r="C484" s="3" t="s">
        <v>750</v>
      </c>
      <c r="D484" s="6" t="s">
        <v>751</v>
      </c>
      <c r="F484" s="18">
        <v>4367</v>
      </c>
      <c r="G484" s="18">
        <v>50749.83</v>
      </c>
    </row>
    <row r="485" spans="2:7" x14ac:dyDescent="0.25">
      <c r="B485" s="9">
        <v>46013</v>
      </c>
      <c r="C485" s="3" t="s">
        <v>752</v>
      </c>
      <c r="D485" s="6" t="s">
        <v>753</v>
      </c>
      <c r="F485" s="18">
        <v>4700</v>
      </c>
      <c r="G485" s="18">
        <v>55449.83</v>
      </c>
    </row>
    <row r="486" spans="2:7" x14ac:dyDescent="0.25">
      <c r="B486" s="9">
        <v>46013</v>
      </c>
      <c r="C486" s="3" t="s">
        <v>754</v>
      </c>
      <c r="D486" s="6" t="s">
        <v>755</v>
      </c>
      <c r="F486" s="18">
        <v>8897</v>
      </c>
      <c r="G486" s="18">
        <v>64346.83</v>
      </c>
    </row>
    <row r="487" spans="2:7" x14ac:dyDescent="0.25">
      <c r="B487" s="9">
        <v>46018</v>
      </c>
      <c r="C487" s="3" t="s">
        <v>756</v>
      </c>
      <c r="D487" s="6" t="s">
        <v>757</v>
      </c>
      <c r="E487" s="3">
        <v>577</v>
      </c>
      <c r="G487" s="18">
        <v>63769.83</v>
      </c>
    </row>
    <row r="488" spans="2:7" x14ac:dyDescent="0.25">
      <c r="B488" s="9">
        <v>46018</v>
      </c>
      <c r="C488" s="3" t="s">
        <v>758</v>
      </c>
      <c r="D488" s="6" t="s">
        <v>759</v>
      </c>
      <c r="F488" s="18">
        <v>5000</v>
      </c>
      <c r="G488" s="18">
        <v>68769.83</v>
      </c>
    </row>
    <row r="489" spans="2:7" x14ac:dyDescent="0.25">
      <c r="B489" s="9">
        <v>46018</v>
      </c>
      <c r="C489" s="3" t="s">
        <v>760</v>
      </c>
      <c r="D489" s="6" t="s">
        <v>761</v>
      </c>
      <c r="F489" s="18">
        <v>4875</v>
      </c>
      <c r="G489" s="18">
        <v>73644.83</v>
      </c>
    </row>
    <row r="490" spans="2:7" x14ac:dyDescent="0.25">
      <c r="B490" s="9">
        <v>46018</v>
      </c>
      <c r="C490" s="3" t="s">
        <v>762</v>
      </c>
      <c r="D490" s="6" t="s">
        <v>763</v>
      </c>
      <c r="F490" s="18">
        <v>3000</v>
      </c>
      <c r="G490" s="18">
        <v>76644.83</v>
      </c>
    </row>
    <row r="491" spans="2:7" x14ac:dyDescent="0.25">
      <c r="B491" s="9">
        <v>46018</v>
      </c>
      <c r="C491" s="3" t="s">
        <v>764</v>
      </c>
      <c r="D491" s="6" t="s">
        <v>765</v>
      </c>
      <c r="F491" s="18">
        <v>5138</v>
      </c>
      <c r="G491" s="18">
        <v>81782.83</v>
      </c>
    </row>
    <row r="492" spans="2:7" x14ac:dyDescent="0.25">
      <c r="B492" s="9">
        <v>46020</v>
      </c>
      <c r="C492" s="3" t="s">
        <v>766</v>
      </c>
      <c r="D492" s="6" t="s">
        <v>767</v>
      </c>
      <c r="E492" s="18">
        <v>2925</v>
      </c>
      <c r="G492" s="18">
        <v>78857.83</v>
      </c>
    </row>
    <row r="493" spans="2:7" x14ac:dyDescent="0.25">
      <c r="B493" s="9">
        <v>46021</v>
      </c>
      <c r="C493" s="3" t="s">
        <v>768</v>
      </c>
      <c r="D493" s="6" t="s">
        <v>769</v>
      </c>
      <c r="F493" s="18">
        <v>5138</v>
      </c>
      <c r="G493" s="18">
        <v>83995.83</v>
      </c>
    </row>
    <row r="494" spans="2:7" x14ac:dyDescent="0.25">
      <c r="B494" s="9">
        <v>46021</v>
      </c>
      <c r="C494" s="3" t="s">
        <v>770</v>
      </c>
      <c r="D494" s="6" t="s">
        <v>771</v>
      </c>
      <c r="F494" s="18">
        <v>6100</v>
      </c>
      <c r="G494" s="18">
        <v>90095.83</v>
      </c>
    </row>
    <row r="495" spans="2:7" x14ac:dyDescent="0.25">
      <c r="B495" s="9">
        <v>46021</v>
      </c>
      <c r="C495" s="3" t="s">
        <v>772</v>
      </c>
      <c r="D495" s="6" t="s">
        <v>773</v>
      </c>
      <c r="E495" s="18">
        <v>1000</v>
      </c>
      <c r="G495" s="18">
        <v>89095.83</v>
      </c>
    </row>
    <row r="496" spans="2:7" x14ac:dyDescent="0.25">
      <c r="B496" s="9">
        <v>46022</v>
      </c>
      <c r="C496" s="3" t="s">
        <v>774</v>
      </c>
      <c r="D496" s="6" t="s">
        <v>775</v>
      </c>
      <c r="E496" s="3">
        <v>790</v>
      </c>
      <c r="G496" s="18">
        <v>88305.83</v>
      </c>
    </row>
    <row r="497" spans="2:7" x14ac:dyDescent="0.25">
      <c r="B497" s="9">
        <v>46024</v>
      </c>
      <c r="C497" s="3" t="s">
        <v>776</v>
      </c>
      <c r="D497" s="6" t="s">
        <v>777</v>
      </c>
      <c r="F497" s="18">
        <v>4671</v>
      </c>
      <c r="G497" s="18">
        <v>92976.83</v>
      </c>
    </row>
    <row r="498" spans="2:7" x14ac:dyDescent="0.25">
      <c r="B498" s="9">
        <v>46024</v>
      </c>
      <c r="C498" s="3" t="s">
        <v>778</v>
      </c>
      <c r="D498" s="6" t="s">
        <v>779</v>
      </c>
      <c r="F498" s="18">
        <v>14013</v>
      </c>
      <c r="G498" s="18">
        <v>106989.83</v>
      </c>
    </row>
    <row r="499" spans="2:7" x14ac:dyDescent="0.25">
      <c r="B499" s="9">
        <v>46027</v>
      </c>
      <c r="C499" s="3" t="s">
        <v>780</v>
      </c>
      <c r="D499" s="6" t="s">
        <v>781</v>
      </c>
      <c r="F499" s="18">
        <v>6400</v>
      </c>
      <c r="G499" s="18">
        <v>113389.83</v>
      </c>
    </row>
    <row r="500" spans="2:7" x14ac:dyDescent="0.25">
      <c r="B500" s="9">
        <v>46028</v>
      </c>
      <c r="C500" s="3" t="s">
        <v>782</v>
      </c>
      <c r="D500" s="6" t="s">
        <v>783</v>
      </c>
      <c r="E500" s="18">
        <v>9800</v>
      </c>
      <c r="G500" s="18">
        <v>103589.83</v>
      </c>
    </row>
    <row r="501" spans="2:7" x14ac:dyDescent="0.25">
      <c r="B501" s="9">
        <v>46029</v>
      </c>
      <c r="C501" s="3" t="s">
        <v>784</v>
      </c>
      <c r="D501" s="6">
        <v>505745993</v>
      </c>
      <c r="E501" s="18">
        <v>25000</v>
      </c>
      <c r="G501" s="18">
        <v>78589.83</v>
      </c>
    </row>
    <row r="502" spans="2:7" x14ac:dyDescent="0.25">
      <c r="B502" s="9">
        <v>46029</v>
      </c>
      <c r="C502" s="3" t="s">
        <v>785</v>
      </c>
      <c r="D502" s="6" t="s">
        <v>786</v>
      </c>
      <c r="F502" s="18">
        <v>4671</v>
      </c>
      <c r="G502" s="18">
        <v>83260.83</v>
      </c>
    </row>
    <row r="503" spans="2:7" x14ac:dyDescent="0.25">
      <c r="B503" s="9">
        <v>46030</v>
      </c>
      <c r="C503" s="3" t="s">
        <v>787</v>
      </c>
      <c r="D503" s="6" t="s">
        <v>788</v>
      </c>
      <c r="E503" s="3">
        <v>797</v>
      </c>
      <c r="G503" s="18">
        <v>82463.83</v>
      </c>
    </row>
    <row r="504" spans="2:7" x14ac:dyDescent="0.25">
      <c r="B504" s="9">
        <v>46030</v>
      </c>
      <c r="C504" s="3" t="s">
        <v>789</v>
      </c>
      <c r="D504" s="6" t="s">
        <v>790</v>
      </c>
      <c r="E504" s="18">
        <v>10276</v>
      </c>
      <c r="G504" s="18">
        <v>72187.83</v>
      </c>
    </row>
    <row r="505" spans="2:7" x14ac:dyDescent="0.25">
      <c r="B505" s="9">
        <v>46030</v>
      </c>
      <c r="C505" s="3" t="s">
        <v>791</v>
      </c>
      <c r="D505" s="6" t="s">
        <v>792</v>
      </c>
      <c r="F505" s="3">
        <v>1</v>
      </c>
      <c r="G505" s="18">
        <v>72188.83</v>
      </c>
    </row>
    <row r="506" spans="2:7" x14ac:dyDescent="0.25">
      <c r="B506" s="9">
        <v>46032</v>
      </c>
      <c r="C506" s="3" t="s">
        <v>793</v>
      </c>
      <c r="D506" s="6" t="s">
        <v>794</v>
      </c>
      <c r="F506" s="18">
        <v>4000</v>
      </c>
      <c r="G506" s="18">
        <v>76188.83</v>
      </c>
    </row>
    <row r="507" spans="2:7" x14ac:dyDescent="0.25">
      <c r="B507" s="9">
        <v>46032</v>
      </c>
      <c r="C507" s="3" t="s">
        <v>795</v>
      </c>
      <c r="D507" s="6" t="s">
        <v>796</v>
      </c>
      <c r="E507" s="18">
        <v>1000</v>
      </c>
      <c r="G507" s="18">
        <v>75188.83</v>
      </c>
    </row>
    <row r="508" spans="2:7" x14ac:dyDescent="0.25">
      <c r="B508" s="9">
        <v>46032</v>
      </c>
      <c r="C508" s="3" t="s">
        <v>797</v>
      </c>
      <c r="D508" s="6" t="s">
        <v>798</v>
      </c>
      <c r="E508" s="3">
        <v>809</v>
      </c>
      <c r="G508" s="18">
        <v>74379.83</v>
      </c>
    </row>
    <row r="509" spans="2:7" x14ac:dyDescent="0.25">
      <c r="B509" s="9">
        <v>46032</v>
      </c>
      <c r="C509" s="3" t="s">
        <v>799</v>
      </c>
      <c r="D509" s="6" t="s">
        <v>800</v>
      </c>
      <c r="F509" s="18">
        <v>4200</v>
      </c>
      <c r="G509" s="18">
        <v>78579.83</v>
      </c>
    </row>
    <row r="510" spans="2:7" x14ac:dyDescent="0.25">
      <c r="B510" s="9">
        <v>46035</v>
      </c>
      <c r="C510" s="3" t="s">
        <v>801</v>
      </c>
      <c r="D510" s="6" t="s">
        <v>802</v>
      </c>
      <c r="F510" s="18">
        <v>4671</v>
      </c>
      <c r="G510" s="18">
        <v>83250.83</v>
      </c>
    </row>
    <row r="511" spans="2:7" x14ac:dyDescent="0.25">
      <c r="B511" s="9">
        <v>46035</v>
      </c>
      <c r="C511" s="3" t="s">
        <v>803</v>
      </c>
      <c r="D511" s="6" t="s">
        <v>804</v>
      </c>
      <c r="F511" s="18">
        <v>4921</v>
      </c>
      <c r="G511" s="18">
        <v>88171.83</v>
      </c>
    </row>
    <row r="512" spans="2:7" x14ac:dyDescent="0.25">
      <c r="B512" s="9">
        <v>46036</v>
      </c>
      <c r="C512" s="3" t="s">
        <v>805</v>
      </c>
      <c r="D512" s="6" t="s">
        <v>806</v>
      </c>
      <c r="E512" s="18">
        <v>16388</v>
      </c>
      <c r="G512" s="18">
        <v>71783.83</v>
      </c>
    </row>
    <row r="513" spans="2:7" x14ac:dyDescent="0.25">
      <c r="B513" s="9">
        <v>46036</v>
      </c>
      <c r="C513" s="3" t="s">
        <v>807</v>
      </c>
      <c r="D513" s="6">
        <v>507292627</v>
      </c>
      <c r="E513" s="18">
        <v>2922</v>
      </c>
      <c r="G513" s="18">
        <v>68861.83</v>
      </c>
    </row>
    <row r="514" spans="2:7" x14ac:dyDescent="0.25">
      <c r="B514" s="9">
        <v>46036</v>
      </c>
      <c r="C514" s="3" t="s">
        <v>808</v>
      </c>
      <c r="D514" s="6" t="s">
        <v>809</v>
      </c>
      <c r="F514" s="18">
        <v>4200</v>
      </c>
      <c r="G514" s="18">
        <v>73061.83</v>
      </c>
    </row>
    <row r="515" spans="2:7" x14ac:dyDescent="0.25">
      <c r="B515" s="9">
        <v>46038</v>
      </c>
      <c r="C515" s="3" t="s">
        <v>64</v>
      </c>
      <c r="D515" s="6">
        <v>507688991</v>
      </c>
      <c r="E515" s="18">
        <v>10000</v>
      </c>
      <c r="G515" s="18">
        <v>63061.83</v>
      </c>
    </row>
    <row r="516" spans="2:7" x14ac:dyDescent="0.25">
      <c r="B516" s="9">
        <v>46039</v>
      </c>
      <c r="C516" s="3" t="s">
        <v>810</v>
      </c>
      <c r="D516" s="6" t="s">
        <v>811</v>
      </c>
      <c r="F516" s="18">
        <v>5138</v>
      </c>
      <c r="G516" s="18">
        <v>68199.83</v>
      </c>
    </row>
    <row r="517" spans="2:7" x14ac:dyDescent="0.25">
      <c r="B517" s="9">
        <v>46039</v>
      </c>
      <c r="C517" s="3" t="s">
        <v>812</v>
      </c>
      <c r="D517" s="6" t="s">
        <v>813</v>
      </c>
      <c r="F517" s="18">
        <v>8897</v>
      </c>
      <c r="G517" s="18">
        <v>77096.83</v>
      </c>
    </row>
    <row r="518" spans="2:7" x14ac:dyDescent="0.25">
      <c r="B518" s="9">
        <v>46042</v>
      </c>
      <c r="C518" s="3" t="s">
        <v>64</v>
      </c>
      <c r="D518" s="6">
        <v>508254096</v>
      </c>
      <c r="E518" s="18">
        <v>20000</v>
      </c>
      <c r="G518" s="18">
        <v>57096.83</v>
      </c>
    </row>
    <row r="519" spans="2:7" x14ac:dyDescent="0.25">
      <c r="B519" s="9">
        <v>46044</v>
      </c>
      <c r="C519" s="3" t="s">
        <v>814</v>
      </c>
      <c r="D519" s="6" t="s">
        <v>815</v>
      </c>
      <c r="E519" s="3">
        <v>113</v>
      </c>
      <c r="G519" s="18">
        <v>56983.83</v>
      </c>
    </row>
    <row r="520" spans="2:7" x14ac:dyDescent="0.25">
      <c r="B520" s="9">
        <v>46044</v>
      </c>
      <c r="C520" s="3" t="s">
        <v>816</v>
      </c>
      <c r="D520" s="6" t="s">
        <v>817</v>
      </c>
      <c r="E520" s="18">
        <v>5752</v>
      </c>
      <c r="G520" s="18">
        <v>51231.83</v>
      </c>
    </row>
    <row r="521" spans="2:7" x14ac:dyDescent="0.25">
      <c r="B521" s="9">
        <v>46045</v>
      </c>
      <c r="C521" s="3" t="s">
        <v>818</v>
      </c>
      <c r="D521" s="6" t="s">
        <v>819</v>
      </c>
      <c r="F521" s="18">
        <v>5388</v>
      </c>
      <c r="G521" s="18">
        <v>56619.83</v>
      </c>
    </row>
    <row r="522" spans="2:7" x14ac:dyDescent="0.25">
      <c r="B522" s="9">
        <v>46045</v>
      </c>
      <c r="C522" s="3" t="s">
        <v>820</v>
      </c>
      <c r="D522" s="6" t="s">
        <v>821</v>
      </c>
      <c r="F522" s="18">
        <v>10276</v>
      </c>
      <c r="G522" s="18">
        <v>66895.83</v>
      </c>
    </row>
    <row r="523" spans="2:7" x14ac:dyDescent="0.25">
      <c r="B523" s="9">
        <v>46049</v>
      </c>
      <c r="C523" s="3" t="s">
        <v>822</v>
      </c>
      <c r="D523" s="6" t="s">
        <v>823</v>
      </c>
      <c r="F523" s="18">
        <v>4600</v>
      </c>
      <c r="G523" s="18">
        <v>71495.83</v>
      </c>
    </row>
    <row r="524" spans="2:7" x14ac:dyDescent="0.25">
      <c r="B524" s="9">
        <v>46049</v>
      </c>
      <c r="C524" s="3" t="s">
        <v>824</v>
      </c>
      <c r="D524" s="6" t="s">
        <v>825</v>
      </c>
      <c r="F524" s="18">
        <v>5438</v>
      </c>
      <c r="G524" s="18">
        <v>76933.83</v>
      </c>
    </row>
    <row r="525" spans="2:7" x14ac:dyDescent="0.25">
      <c r="B525" s="9">
        <v>46053</v>
      </c>
      <c r="C525" s="3" t="s">
        <v>826</v>
      </c>
      <c r="D525" s="6" t="s">
        <v>827</v>
      </c>
      <c r="F525" s="18">
        <v>17200</v>
      </c>
      <c r="G525" s="18">
        <v>94133.83</v>
      </c>
    </row>
    <row r="526" spans="2:7" x14ac:dyDescent="0.25">
      <c r="B526" s="9">
        <v>46053</v>
      </c>
      <c r="C526" s="3" t="s">
        <v>828</v>
      </c>
      <c r="D526" s="6" t="s">
        <v>829</v>
      </c>
      <c r="F526" s="18">
        <v>2000</v>
      </c>
      <c r="G526" s="18">
        <v>96133.83</v>
      </c>
    </row>
    <row r="527" spans="2:7" x14ac:dyDescent="0.25">
      <c r="B527" s="9">
        <v>46053</v>
      </c>
      <c r="C527" s="3" t="s">
        <v>830</v>
      </c>
      <c r="D527" s="6" t="s">
        <v>831</v>
      </c>
      <c r="F527" s="18">
        <v>2600</v>
      </c>
      <c r="G527" s="18">
        <v>98733.83</v>
      </c>
    </row>
    <row r="528" spans="2:7" x14ac:dyDescent="0.25">
      <c r="B528" s="9">
        <v>46056</v>
      </c>
      <c r="C528" s="3" t="s">
        <v>832</v>
      </c>
      <c r="D528" s="6" t="s">
        <v>833</v>
      </c>
      <c r="F528" s="18">
        <v>8897</v>
      </c>
      <c r="G528" s="18">
        <v>107630.83</v>
      </c>
    </row>
    <row r="529" spans="2:7" x14ac:dyDescent="0.25">
      <c r="B529" s="9">
        <v>46056</v>
      </c>
      <c r="C529" s="3" t="s">
        <v>834</v>
      </c>
      <c r="D529" s="6" t="s">
        <v>835</v>
      </c>
      <c r="F529" s="18">
        <v>5138</v>
      </c>
      <c r="G529" s="18">
        <v>112768.83</v>
      </c>
    </row>
    <row r="530" spans="2:7" x14ac:dyDescent="0.25">
      <c r="B530" s="9">
        <v>46057</v>
      </c>
      <c r="C530" s="3" t="s">
        <v>836</v>
      </c>
      <c r="D530" s="6" t="s">
        <v>837</v>
      </c>
      <c r="F530" s="18">
        <v>5388</v>
      </c>
      <c r="G530" s="18">
        <v>118156.83</v>
      </c>
    </row>
    <row r="531" spans="2:7" x14ac:dyDescent="0.25">
      <c r="B531" s="9">
        <v>46058</v>
      </c>
      <c r="C531" s="3" t="s">
        <v>838</v>
      </c>
      <c r="D531" s="6" t="s">
        <v>839</v>
      </c>
      <c r="E531" s="3">
        <v>305</v>
      </c>
      <c r="G531" s="18">
        <v>117851.83</v>
      </c>
    </row>
    <row r="532" spans="2:7" x14ac:dyDescent="0.25">
      <c r="B532" s="9">
        <v>46058</v>
      </c>
      <c r="C532" s="3" t="s">
        <v>840</v>
      </c>
      <c r="D532" s="6" t="s">
        <v>841</v>
      </c>
      <c r="E532" s="18">
        <v>50000</v>
      </c>
      <c r="G532" s="18">
        <v>67851.83</v>
      </c>
    </row>
    <row r="533" spans="2:7" x14ac:dyDescent="0.25">
      <c r="B533" s="9">
        <v>46059</v>
      </c>
      <c r="C533" s="3" t="s">
        <v>842</v>
      </c>
      <c r="D533" s="6" t="s">
        <v>843</v>
      </c>
      <c r="F533" s="18">
        <v>4921</v>
      </c>
      <c r="G533" s="18">
        <v>72772.83</v>
      </c>
    </row>
    <row r="534" spans="2:7" x14ac:dyDescent="0.25">
      <c r="B534" s="9">
        <v>46060</v>
      </c>
      <c r="C534" s="3" t="s">
        <v>844</v>
      </c>
      <c r="D534" s="6" t="s">
        <v>845</v>
      </c>
      <c r="F534" s="18">
        <v>9342</v>
      </c>
      <c r="G534" s="18">
        <v>82114.83</v>
      </c>
    </row>
    <row r="535" spans="2:7" x14ac:dyDescent="0.25">
      <c r="B535" s="9">
        <v>46062</v>
      </c>
      <c r="C535" s="3" t="s">
        <v>846</v>
      </c>
      <c r="D535" s="6" t="s">
        <v>847</v>
      </c>
      <c r="E535" s="18">
        <v>1000</v>
      </c>
      <c r="G535" s="18">
        <v>81114.83</v>
      </c>
    </row>
    <row r="536" spans="2:7" x14ac:dyDescent="0.25">
      <c r="B536" s="9">
        <v>46063</v>
      </c>
      <c r="C536" s="3" t="s">
        <v>848</v>
      </c>
      <c r="D536" s="6" t="s">
        <v>849</v>
      </c>
      <c r="F536" s="18">
        <v>4200</v>
      </c>
      <c r="G536" s="18">
        <v>85314.83</v>
      </c>
    </row>
    <row r="537" spans="2:7" x14ac:dyDescent="0.25">
      <c r="B537" s="9">
        <v>46063</v>
      </c>
      <c r="C537" s="3" t="s">
        <v>850</v>
      </c>
      <c r="D537" s="6" t="s">
        <v>851</v>
      </c>
      <c r="E537" s="18">
        <v>10711</v>
      </c>
      <c r="G537" s="18">
        <v>74603.83</v>
      </c>
    </row>
    <row r="538" spans="2:7" x14ac:dyDescent="0.25">
      <c r="B538" s="9">
        <v>46064</v>
      </c>
      <c r="C538" s="3" t="s">
        <v>852</v>
      </c>
      <c r="D538" s="6" t="s">
        <v>853</v>
      </c>
      <c r="F538" s="18">
        <v>4671</v>
      </c>
      <c r="G538" s="18">
        <v>79274.83</v>
      </c>
    </row>
    <row r="539" spans="2:7" x14ac:dyDescent="0.25">
      <c r="B539" s="9">
        <v>46066</v>
      </c>
      <c r="C539" s="3" t="s">
        <v>854</v>
      </c>
      <c r="D539" s="6" t="s">
        <v>855</v>
      </c>
      <c r="F539" s="18">
        <v>5900</v>
      </c>
      <c r="G539" s="18">
        <v>85174.83</v>
      </c>
    </row>
    <row r="540" spans="2:7" x14ac:dyDescent="0.25">
      <c r="B540" s="9">
        <v>46066</v>
      </c>
      <c r="C540" s="3" t="s">
        <v>856</v>
      </c>
      <c r="D540" s="6">
        <v>513260148</v>
      </c>
      <c r="E540" s="18">
        <v>1770</v>
      </c>
      <c r="G540" s="18">
        <v>83404.83</v>
      </c>
    </row>
    <row r="541" spans="2:7" x14ac:dyDescent="0.25">
      <c r="B541" s="9">
        <v>46066</v>
      </c>
      <c r="C541" s="3" t="s">
        <v>857</v>
      </c>
      <c r="D541" s="6" t="s">
        <v>858</v>
      </c>
      <c r="E541" s="3">
        <v>10</v>
      </c>
      <c r="G541" s="18">
        <v>83394.83</v>
      </c>
    </row>
    <row r="542" spans="2:7" x14ac:dyDescent="0.25">
      <c r="B542" s="9">
        <v>46067</v>
      </c>
      <c r="C542" s="3" t="s">
        <v>859</v>
      </c>
      <c r="D542" s="6" t="s">
        <v>860</v>
      </c>
      <c r="F542" s="18">
        <v>4671</v>
      </c>
      <c r="G542" s="18">
        <v>88065.83</v>
      </c>
    </row>
    <row r="543" spans="2:7" x14ac:dyDescent="0.25">
      <c r="B543" s="9">
        <v>46069</v>
      </c>
      <c r="C543" s="3" t="s">
        <v>861</v>
      </c>
      <c r="D543" s="6" t="s">
        <v>862</v>
      </c>
      <c r="E543" s="18">
        <v>6539</v>
      </c>
      <c r="G543" s="18">
        <v>81526.83</v>
      </c>
    </row>
    <row r="544" spans="2:7" x14ac:dyDescent="0.25">
      <c r="B544" s="9">
        <v>46070</v>
      </c>
      <c r="C544" s="3" t="s">
        <v>64</v>
      </c>
      <c r="D544" s="6">
        <v>513818163</v>
      </c>
      <c r="E544" s="18">
        <v>2000</v>
      </c>
      <c r="G544" s="18">
        <v>79526.83</v>
      </c>
    </row>
    <row r="545" spans="2:7" x14ac:dyDescent="0.25">
      <c r="B545" s="9">
        <v>46070</v>
      </c>
      <c r="C545" s="3" t="s">
        <v>863</v>
      </c>
      <c r="D545" s="6" t="s">
        <v>864</v>
      </c>
      <c r="F545" s="18">
        <v>10000</v>
      </c>
      <c r="G545" s="18">
        <v>89526.83</v>
      </c>
    </row>
    <row r="546" spans="2:7" x14ac:dyDescent="0.25">
      <c r="B546" s="9">
        <v>46070</v>
      </c>
      <c r="C546" s="3" t="s">
        <v>865</v>
      </c>
      <c r="D546" s="6" t="s">
        <v>866</v>
      </c>
      <c r="F546" s="18">
        <v>4200</v>
      </c>
      <c r="G546" s="18">
        <v>93726.83</v>
      </c>
    </row>
    <row r="547" spans="2:7" x14ac:dyDescent="0.25">
      <c r="B547" s="9">
        <v>46071</v>
      </c>
      <c r="C547" s="3" t="s">
        <v>64</v>
      </c>
      <c r="D547" s="6">
        <v>514049229</v>
      </c>
      <c r="E547" s="18">
        <v>10000</v>
      </c>
      <c r="G547" s="18">
        <v>83726.83</v>
      </c>
    </row>
    <row r="548" spans="2:7" x14ac:dyDescent="0.25">
      <c r="B548" s="9">
        <v>46071</v>
      </c>
      <c r="C548" s="3" t="s">
        <v>867</v>
      </c>
      <c r="D548" s="6" t="s">
        <v>868</v>
      </c>
      <c r="F548" s="18">
        <v>5200</v>
      </c>
      <c r="G548" s="18">
        <v>88926.83</v>
      </c>
    </row>
    <row r="549" spans="2:7" x14ac:dyDescent="0.25">
      <c r="B549" s="9">
        <v>46072</v>
      </c>
      <c r="C549" s="3" t="s">
        <v>784</v>
      </c>
      <c r="D549" s="6">
        <v>514324941</v>
      </c>
      <c r="E549" s="18">
        <v>88000</v>
      </c>
      <c r="G549" s="3">
        <v>926.83</v>
      </c>
    </row>
    <row r="550" spans="2:7" x14ac:dyDescent="0.25">
      <c r="B550" s="9">
        <v>46076</v>
      </c>
      <c r="C550" s="3" t="s">
        <v>869</v>
      </c>
      <c r="D550" s="6" t="s">
        <v>870</v>
      </c>
      <c r="F550" s="18">
        <v>5249</v>
      </c>
      <c r="G550" s="18">
        <v>6175.83</v>
      </c>
    </row>
    <row r="551" spans="2:7" x14ac:dyDescent="0.25">
      <c r="B551" s="9">
        <v>46076</v>
      </c>
      <c r="C551" s="3" t="s">
        <v>871</v>
      </c>
      <c r="D551" s="6" t="s">
        <v>872</v>
      </c>
      <c r="E551" s="18">
        <v>4182</v>
      </c>
      <c r="G551" s="18">
        <v>1993.83</v>
      </c>
    </row>
    <row r="552" spans="2:7" x14ac:dyDescent="0.25">
      <c r="B552" s="9">
        <v>46078</v>
      </c>
      <c r="C552" s="3" t="s">
        <v>873</v>
      </c>
      <c r="D552" s="6" t="s">
        <v>874</v>
      </c>
      <c r="F552" s="18">
        <v>5138</v>
      </c>
      <c r="G552" s="18">
        <v>7131.83</v>
      </c>
    </row>
    <row r="553" spans="2:7" x14ac:dyDescent="0.25">
      <c r="B553" s="9">
        <v>46078</v>
      </c>
      <c r="C553" s="3" t="s">
        <v>875</v>
      </c>
      <c r="D553" s="6" t="s">
        <v>876</v>
      </c>
      <c r="E553" s="3">
        <v>738</v>
      </c>
      <c r="G553" s="18">
        <v>6393.83</v>
      </c>
    </row>
    <row r="554" spans="2:7" x14ac:dyDescent="0.25">
      <c r="B554" s="9">
        <v>46079</v>
      </c>
      <c r="C554" s="3" t="s">
        <v>877</v>
      </c>
      <c r="D554" s="6" t="s">
        <v>878</v>
      </c>
      <c r="E554" s="18">
        <v>6000</v>
      </c>
      <c r="G554" s="3">
        <v>393.83</v>
      </c>
    </row>
    <row r="555" spans="2:7" x14ac:dyDescent="0.25">
      <c r="B555" s="9">
        <v>46087</v>
      </c>
      <c r="C555" s="3" t="s">
        <v>879</v>
      </c>
      <c r="D555" s="6" t="s">
        <v>880</v>
      </c>
      <c r="E555" s="3">
        <v>70</v>
      </c>
      <c r="G555" s="3">
        <v>323.83</v>
      </c>
    </row>
    <row r="556" spans="2:7" x14ac:dyDescent="0.25">
      <c r="B556" s="9">
        <v>46091</v>
      </c>
      <c r="C556" s="3" t="s">
        <v>881</v>
      </c>
      <c r="D556" s="6" t="s">
        <v>882</v>
      </c>
      <c r="F556" s="18">
        <v>14013</v>
      </c>
      <c r="G556" s="18">
        <v>14336.83</v>
      </c>
    </row>
    <row r="557" spans="2:7" x14ac:dyDescent="0.25">
      <c r="B557" s="9">
        <v>46092</v>
      </c>
      <c r="C557" s="3" t="s">
        <v>883</v>
      </c>
      <c r="D557" s="6" t="s">
        <v>884</v>
      </c>
      <c r="F557" s="18">
        <v>9342</v>
      </c>
      <c r="G557" s="18">
        <v>23678.83</v>
      </c>
    </row>
    <row r="558" spans="2:7" x14ac:dyDescent="0.25">
      <c r="B558" s="9">
        <v>46094</v>
      </c>
      <c r="C558" s="3" t="s">
        <v>885</v>
      </c>
      <c r="D558" s="6" t="s">
        <v>886</v>
      </c>
      <c r="E558" s="3">
        <v>87</v>
      </c>
      <c r="G558" s="18">
        <v>23591.83</v>
      </c>
    </row>
    <row r="559" spans="2:7" x14ac:dyDescent="0.25">
      <c r="B559" s="9">
        <v>46097</v>
      </c>
      <c r="C559" s="3" t="s">
        <v>887</v>
      </c>
      <c r="D559" s="6" t="s">
        <v>888</v>
      </c>
      <c r="F559" s="18">
        <v>8897</v>
      </c>
      <c r="G559" s="18">
        <v>32488.83</v>
      </c>
    </row>
    <row r="560" spans="2:7" x14ac:dyDescent="0.25">
      <c r="B560" s="9">
        <v>46099</v>
      </c>
      <c r="C560" s="3" t="s">
        <v>889</v>
      </c>
      <c r="D560" s="6" t="s">
        <v>890</v>
      </c>
      <c r="E560" s="3">
        <v>547</v>
      </c>
      <c r="G560" s="18">
        <v>31941.83</v>
      </c>
    </row>
    <row r="561" spans="2:7" x14ac:dyDescent="0.25">
      <c r="B561" s="9">
        <v>46107</v>
      </c>
      <c r="C561" s="3" t="s">
        <v>891</v>
      </c>
      <c r="D561" s="6" t="s">
        <v>892</v>
      </c>
      <c r="E561" s="3">
        <v>772</v>
      </c>
      <c r="G561" s="18">
        <v>31169.83</v>
      </c>
    </row>
    <row r="562" spans="2:7" x14ac:dyDescent="0.25">
      <c r="B562" s="9">
        <v>46109</v>
      </c>
      <c r="C562" s="3" t="s">
        <v>893</v>
      </c>
      <c r="D562" s="6" t="s">
        <v>894</v>
      </c>
      <c r="E562" s="18">
        <v>4000</v>
      </c>
      <c r="G562" s="18">
        <v>27169.83</v>
      </c>
    </row>
    <row r="563" spans="2:7" x14ac:dyDescent="0.25">
      <c r="B563" s="9">
        <v>46112</v>
      </c>
      <c r="C563" s="3" t="s">
        <v>895</v>
      </c>
      <c r="E563" s="3">
        <v>5.9</v>
      </c>
      <c r="G563" s="18">
        <v>27163.93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6B3D-1C63-4BF5-A891-6EAFA00072CB}">
  <dimension ref="A2:N561"/>
  <sheetViews>
    <sheetView tabSelected="1" topLeftCell="A304" workbookViewId="0">
      <selection activeCell="G551" sqref="G551"/>
    </sheetView>
  </sheetViews>
  <sheetFormatPr defaultRowHeight="15" x14ac:dyDescent="0.25"/>
  <cols>
    <col min="2" max="3" width="10.7109375" bestFit="1" customWidth="1"/>
    <col min="4" max="4" width="20.28515625" bestFit="1" customWidth="1"/>
    <col min="5" max="5" width="55.42578125" bestFit="1" customWidth="1"/>
    <col min="8" max="8" width="35.7109375" bestFit="1" customWidth="1"/>
    <col min="9" max="9" width="21" bestFit="1" customWidth="1"/>
    <col min="12" max="12" width="10.7109375" bestFit="1" customWidth="1"/>
  </cols>
  <sheetData>
    <row r="2" spans="1:14" ht="15.75" x14ac:dyDescent="0.25">
      <c r="A2" s="19">
        <v>1</v>
      </c>
      <c r="B2" s="20">
        <v>45748</v>
      </c>
      <c r="C2" s="21">
        <v>45748</v>
      </c>
      <c r="D2" s="22" t="s">
        <v>9</v>
      </c>
      <c r="E2" s="23" t="s">
        <v>8</v>
      </c>
      <c r="F2" s="24"/>
      <c r="G2" s="24">
        <v>9775</v>
      </c>
      <c r="H2" s="25" t="s">
        <v>896</v>
      </c>
      <c r="I2" s="26" t="s">
        <v>897</v>
      </c>
      <c r="J2" s="3"/>
      <c r="K2" s="3"/>
      <c r="L2" s="27">
        <f>SUBSTITUTE(CLEAN(B2), "-", "/")*1</f>
        <v>45748</v>
      </c>
      <c r="M2" s="3"/>
      <c r="N2" s="3"/>
    </row>
    <row r="3" spans="1:14" ht="15.75" x14ac:dyDescent="0.25">
      <c r="A3" s="19">
        <f>1+A2</f>
        <v>2</v>
      </c>
      <c r="B3" s="20">
        <v>45748</v>
      </c>
      <c r="C3" s="21">
        <v>45748</v>
      </c>
      <c r="D3" s="22">
        <v>454979027</v>
      </c>
      <c r="E3" s="23" t="s">
        <v>10</v>
      </c>
      <c r="F3" s="24">
        <v>4400</v>
      </c>
      <c r="G3" s="24"/>
      <c r="H3" t="s">
        <v>898</v>
      </c>
      <c r="I3" s="26" t="s">
        <v>897</v>
      </c>
      <c r="J3" s="3"/>
      <c r="K3" s="3"/>
      <c r="L3" s="27"/>
      <c r="M3" s="3"/>
      <c r="N3" s="3"/>
    </row>
    <row r="4" spans="1:14" ht="15.75" x14ac:dyDescent="0.25">
      <c r="A4" s="19">
        <f t="shared" ref="A4:A67" si="0">1+A3</f>
        <v>3</v>
      </c>
      <c r="B4" s="20">
        <v>45749</v>
      </c>
      <c r="C4" s="21">
        <v>45749</v>
      </c>
      <c r="D4" s="22" t="s">
        <v>12</v>
      </c>
      <c r="E4" s="23" t="s">
        <v>11</v>
      </c>
      <c r="F4" s="24"/>
      <c r="G4" s="24">
        <v>2900</v>
      </c>
      <c r="H4" s="28" t="s">
        <v>896</v>
      </c>
      <c r="I4" s="26" t="s">
        <v>897</v>
      </c>
      <c r="J4" s="3"/>
      <c r="K4" s="3"/>
      <c r="L4" s="27"/>
      <c r="M4" s="3"/>
      <c r="N4" s="3"/>
    </row>
    <row r="5" spans="1:14" ht="15.75" x14ac:dyDescent="0.25">
      <c r="A5" s="19">
        <f t="shared" si="0"/>
        <v>4</v>
      </c>
      <c r="B5" s="20">
        <v>45749</v>
      </c>
      <c r="C5" s="21">
        <v>45749</v>
      </c>
      <c r="D5" s="22">
        <v>455031445</v>
      </c>
      <c r="E5" s="23" t="s">
        <v>13</v>
      </c>
      <c r="F5" s="24">
        <v>80000</v>
      </c>
      <c r="G5" s="24"/>
      <c r="H5" s="28" t="s">
        <v>899</v>
      </c>
      <c r="I5" s="26" t="s">
        <v>897</v>
      </c>
      <c r="J5" s="3"/>
      <c r="K5" s="3"/>
      <c r="L5" s="27"/>
      <c r="M5" s="3"/>
      <c r="N5" s="3"/>
    </row>
    <row r="6" spans="1:14" ht="15.75" x14ac:dyDescent="0.25">
      <c r="A6" s="19">
        <f t="shared" si="0"/>
        <v>5</v>
      </c>
      <c r="B6" s="20">
        <v>45749</v>
      </c>
      <c r="C6" s="21">
        <v>45749</v>
      </c>
      <c r="D6" s="22">
        <v>455133112</v>
      </c>
      <c r="E6" s="23" t="s">
        <v>14</v>
      </c>
      <c r="F6" s="24">
        <v>5200</v>
      </c>
      <c r="G6" s="24"/>
      <c r="H6" t="s">
        <v>898</v>
      </c>
      <c r="I6" s="26" t="s">
        <v>897</v>
      </c>
      <c r="J6" s="3"/>
      <c r="K6" s="3"/>
      <c r="L6" s="27"/>
      <c r="M6" s="3"/>
      <c r="N6" s="3"/>
    </row>
    <row r="7" spans="1:14" ht="15.75" x14ac:dyDescent="0.25">
      <c r="A7" s="19">
        <f t="shared" si="0"/>
        <v>6</v>
      </c>
      <c r="B7" s="20">
        <v>45750</v>
      </c>
      <c r="C7" s="21">
        <v>45750</v>
      </c>
      <c r="D7" s="22" t="s">
        <v>16</v>
      </c>
      <c r="E7" s="23" t="s">
        <v>15</v>
      </c>
      <c r="F7" s="24"/>
      <c r="G7" s="24">
        <v>2800</v>
      </c>
      <c r="H7" s="28" t="s">
        <v>896</v>
      </c>
      <c r="I7" s="26" t="s">
        <v>897</v>
      </c>
      <c r="J7" s="3"/>
      <c r="K7" s="3"/>
      <c r="L7" s="27"/>
      <c r="M7" s="3"/>
      <c r="N7" s="3"/>
    </row>
    <row r="8" spans="1:14" ht="15.75" x14ac:dyDescent="0.25">
      <c r="A8" s="19">
        <f t="shared" si="0"/>
        <v>7</v>
      </c>
      <c r="B8" s="20">
        <v>45751</v>
      </c>
      <c r="C8" s="21">
        <v>45751</v>
      </c>
      <c r="D8" s="22" t="s">
        <v>18</v>
      </c>
      <c r="E8" s="23" t="s">
        <v>17</v>
      </c>
      <c r="F8" s="24"/>
      <c r="G8" s="24">
        <v>3900</v>
      </c>
      <c r="H8" s="28" t="s">
        <v>896</v>
      </c>
      <c r="I8" s="26" t="s">
        <v>897</v>
      </c>
      <c r="J8" s="3"/>
      <c r="K8" s="3"/>
      <c r="L8" s="27"/>
      <c r="M8" s="3"/>
      <c r="N8" s="3"/>
    </row>
    <row r="9" spans="1:14" ht="15.75" x14ac:dyDescent="0.25">
      <c r="A9" s="19">
        <f t="shared" si="0"/>
        <v>8</v>
      </c>
      <c r="B9" s="20">
        <v>45752</v>
      </c>
      <c r="C9" s="21">
        <v>45752</v>
      </c>
      <c r="D9" s="22" t="s">
        <v>20</v>
      </c>
      <c r="E9" s="23" t="s">
        <v>19</v>
      </c>
      <c r="F9" s="24"/>
      <c r="G9" s="24">
        <v>9749</v>
      </c>
      <c r="H9" s="28" t="s">
        <v>896</v>
      </c>
      <c r="I9" s="26" t="s">
        <v>897</v>
      </c>
      <c r="J9" s="3"/>
      <c r="K9" s="3"/>
      <c r="L9" s="27"/>
      <c r="M9" s="3"/>
      <c r="N9" s="3"/>
    </row>
    <row r="10" spans="1:14" ht="15.75" x14ac:dyDescent="0.25">
      <c r="A10" s="19">
        <f t="shared" si="0"/>
        <v>9</v>
      </c>
      <c r="B10" s="20">
        <v>45753</v>
      </c>
      <c r="C10" s="21">
        <v>45753</v>
      </c>
      <c r="D10" s="22" t="s">
        <v>22</v>
      </c>
      <c r="E10" s="23" t="s">
        <v>21</v>
      </c>
      <c r="F10" s="24"/>
      <c r="G10" s="24">
        <v>19460</v>
      </c>
      <c r="H10" s="28" t="s">
        <v>896</v>
      </c>
      <c r="I10" s="26" t="s">
        <v>897</v>
      </c>
      <c r="J10" s="3"/>
      <c r="K10" s="3"/>
      <c r="L10" s="27"/>
      <c r="M10" s="3"/>
      <c r="N10" s="3"/>
    </row>
    <row r="11" spans="1:14" ht="15.75" x14ac:dyDescent="0.25">
      <c r="A11" s="19">
        <f t="shared" si="0"/>
        <v>10</v>
      </c>
      <c r="B11" s="20">
        <v>45754</v>
      </c>
      <c r="C11" s="21">
        <v>45754</v>
      </c>
      <c r="D11" s="22">
        <v>509712700351</v>
      </c>
      <c r="E11" s="23" t="s">
        <v>23</v>
      </c>
      <c r="F11" s="24"/>
      <c r="G11" s="24">
        <v>15500</v>
      </c>
      <c r="H11" s="28" t="s">
        <v>900</v>
      </c>
      <c r="I11" s="26" t="s">
        <v>897</v>
      </c>
      <c r="J11" s="3"/>
      <c r="K11" s="3"/>
      <c r="L11" s="27"/>
      <c r="M11" s="3"/>
      <c r="N11" s="3"/>
    </row>
    <row r="12" spans="1:14" ht="15.75" x14ac:dyDescent="0.25">
      <c r="A12" s="19">
        <f t="shared" si="0"/>
        <v>11</v>
      </c>
      <c r="B12" s="20">
        <v>45754</v>
      </c>
      <c r="C12" s="21">
        <v>45754</v>
      </c>
      <c r="D12" s="22">
        <v>509712700353</v>
      </c>
      <c r="E12" s="23" t="s">
        <v>23</v>
      </c>
      <c r="F12" s="24"/>
      <c r="G12" s="24">
        <v>200</v>
      </c>
      <c r="H12" s="28" t="s">
        <v>900</v>
      </c>
      <c r="I12" s="26" t="s">
        <v>897</v>
      </c>
      <c r="J12" s="3"/>
      <c r="K12" s="3"/>
      <c r="L12" s="27"/>
      <c r="M12" s="3"/>
      <c r="N12" s="3"/>
    </row>
    <row r="13" spans="1:14" ht="15.75" x14ac:dyDescent="0.25">
      <c r="A13" s="19">
        <f t="shared" si="0"/>
        <v>12</v>
      </c>
      <c r="B13" s="20">
        <v>45754</v>
      </c>
      <c r="C13" s="21">
        <v>45754</v>
      </c>
      <c r="D13" s="22">
        <v>456151618</v>
      </c>
      <c r="E13" s="23" t="s">
        <v>24</v>
      </c>
      <c r="F13" s="24">
        <v>30000</v>
      </c>
      <c r="G13" s="24"/>
      <c r="H13" s="28" t="s">
        <v>901</v>
      </c>
      <c r="I13" s="26" t="s">
        <v>897</v>
      </c>
      <c r="J13" s="3"/>
      <c r="K13" s="3"/>
      <c r="L13" s="27"/>
      <c r="M13" s="3"/>
      <c r="N13" s="3"/>
    </row>
    <row r="14" spans="1:14" ht="15.75" x14ac:dyDescent="0.25">
      <c r="A14" s="19">
        <f t="shared" si="0"/>
        <v>13</v>
      </c>
      <c r="B14" s="20">
        <v>45755</v>
      </c>
      <c r="C14" s="21">
        <v>45755</v>
      </c>
      <c r="D14" s="22" t="s">
        <v>26</v>
      </c>
      <c r="E14" s="23" t="s">
        <v>25</v>
      </c>
      <c r="F14" s="24"/>
      <c r="G14" s="24">
        <v>15000</v>
      </c>
      <c r="H14" s="28" t="s">
        <v>896</v>
      </c>
      <c r="I14" s="26" t="s">
        <v>897</v>
      </c>
      <c r="J14" s="3"/>
      <c r="K14" s="3"/>
      <c r="L14" s="27"/>
      <c r="M14" s="3"/>
      <c r="N14" s="3"/>
    </row>
    <row r="15" spans="1:14" ht="15.75" x14ac:dyDescent="0.25">
      <c r="A15" s="19">
        <f t="shared" si="0"/>
        <v>14</v>
      </c>
      <c r="B15" s="20">
        <v>45755</v>
      </c>
      <c r="C15" s="21">
        <v>45755</v>
      </c>
      <c r="D15" s="22">
        <v>456215988</v>
      </c>
      <c r="E15" s="23" t="s">
        <v>27</v>
      </c>
      <c r="F15" s="24">
        <v>24000</v>
      </c>
      <c r="G15" s="24"/>
      <c r="H15" s="28" t="s">
        <v>902</v>
      </c>
      <c r="I15" s="26" t="s">
        <v>897</v>
      </c>
      <c r="J15" s="3"/>
      <c r="K15" s="3"/>
      <c r="L15" s="27"/>
      <c r="M15" s="3"/>
      <c r="N15" s="3"/>
    </row>
    <row r="16" spans="1:14" ht="15.75" x14ac:dyDescent="0.25">
      <c r="A16" s="19">
        <f t="shared" si="0"/>
        <v>15</v>
      </c>
      <c r="B16" s="20">
        <v>45755</v>
      </c>
      <c r="C16" s="21">
        <v>45755</v>
      </c>
      <c r="D16" s="22">
        <v>456216112</v>
      </c>
      <c r="E16" s="23" t="s">
        <v>27</v>
      </c>
      <c r="F16" s="24">
        <v>23000</v>
      </c>
      <c r="G16" s="24"/>
      <c r="H16" s="28" t="s">
        <v>902</v>
      </c>
      <c r="I16" s="26" t="s">
        <v>897</v>
      </c>
      <c r="J16" s="3"/>
      <c r="K16" s="3"/>
      <c r="L16" s="27"/>
      <c r="M16" s="3"/>
      <c r="N16" s="3"/>
    </row>
    <row r="17" spans="1:14" ht="15.75" x14ac:dyDescent="0.25">
      <c r="A17" s="19">
        <f t="shared" si="0"/>
        <v>16</v>
      </c>
      <c r="B17" s="20">
        <v>45756</v>
      </c>
      <c r="C17" s="21">
        <v>45756</v>
      </c>
      <c r="D17" s="22" t="s">
        <v>29</v>
      </c>
      <c r="E17" s="23" t="s">
        <v>28</v>
      </c>
      <c r="F17" s="24"/>
      <c r="G17" s="24">
        <v>11548.34</v>
      </c>
      <c r="H17" s="28" t="s">
        <v>896</v>
      </c>
      <c r="I17" s="26" t="s">
        <v>897</v>
      </c>
      <c r="J17" s="3"/>
      <c r="K17" s="3"/>
      <c r="L17" s="27"/>
      <c r="M17" s="3"/>
      <c r="N17" s="3"/>
    </row>
    <row r="18" spans="1:14" ht="15.75" x14ac:dyDescent="0.25">
      <c r="A18" s="19">
        <f t="shared" si="0"/>
        <v>17</v>
      </c>
      <c r="B18" s="20">
        <v>45757</v>
      </c>
      <c r="C18" s="21">
        <v>45757</v>
      </c>
      <c r="D18" s="22" t="s">
        <v>31</v>
      </c>
      <c r="E18" s="23" t="s">
        <v>30</v>
      </c>
      <c r="F18" s="24"/>
      <c r="G18" s="24">
        <v>8550</v>
      </c>
      <c r="H18" s="28" t="s">
        <v>896</v>
      </c>
      <c r="I18" s="26" t="s">
        <v>897</v>
      </c>
      <c r="J18" s="3"/>
      <c r="K18" s="3"/>
      <c r="L18" s="27"/>
      <c r="M18" s="3"/>
      <c r="N18" s="3"/>
    </row>
    <row r="19" spans="1:14" ht="15.75" x14ac:dyDescent="0.25">
      <c r="A19" s="19">
        <f t="shared" si="0"/>
        <v>18</v>
      </c>
      <c r="B19" s="20">
        <v>45757</v>
      </c>
      <c r="C19" s="21">
        <v>45757</v>
      </c>
      <c r="D19" s="22" t="s">
        <v>33</v>
      </c>
      <c r="E19" s="23" t="s">
        <v>32</v>
      </c>
      <c r="F19" s="24"/>
      <c r="G19" s="24">
        <v>2700</v>
      </c>
      <c r="H19" s="29" t="s">
        <v>903</v>
      </c>
      <c r="I19" s="26" t="s">
        <v>897</v>
      </c>
      <c r="J19" s="3"/>
      <c r="K19" s="3"/>
      <c r="L19" s="27"/>
      <c r="M19" s="3"/>
      <c r="N19" s="3"/>
    </row>
    <row r="20" spans="1:14" ht="15.75" x14ac:dyDescent="0.25">
      <c r="A20" s="19">
        <f t="shared" si="0"/>
        <v>19</v>
      </c>
      <c r="B20" s="20">
        <v>45758</v>
      </c>
      <c r="C20" s="21">
        <v>45758</v>
      </c>
      <c r="D20" s="22" t="s">
        <v>35</v>
      </c>
      <c r="E20" s="23" t="s">
        <v>34</v>
      </c>
      <c r="F20" s="24"/>
      <c r="G20" s="24">
        <v>11950</v>
      </c>
      <c r="H20" s="28" t="s">
        <v>896</v>
      </c>
      <c r="I20" s="26" t="s">
        <v>897</v>
      </c>
      <c r="J20" s="3"/>
      <c r="K20" s="3"/>
      <c r="L20" s="27"/>
      <c r="M20" s="3"/>
      <c r="N20" s="3"/>
    </row>
    <row r="21" spans="1:14" ht="15.75" x14ac:dyDescent="0.25">
      <c r="A21" s="19">
        <f t="shared" si="0"/>
        <v>20</v>
      </c>
      <c r="B21" s="20">
        <v>45759</v>
      </c>
      <c r="C21" s="21">
        <v>45759</v>
      </c>
      <c r="D21" s="22" t="s">
        <v>37</v>
      </c>
      <c r="E21" s="23" t="s">
        <v>36</v>
      </c>
      <c r="F21" s="24"/>
      <c r="G21" s="24">
        <v>7700</v>
      </c>
      <c r="H21" s="28" t="s">
        <v>896</v>
      </c>
      <c r="I21" s="26" t="s">
        <v>897</v>
      </c>
      <c r="J21" s="3"/>
      <c r="K21" s="3"/>
      <c r="L21" s="27"/>
      <c r="M21" s="3"/>
      <c r="N21" s="3"/>
    </row>
    <row r="22" spans="1:14" ht="15.75" x14ac:dyDescent="0.25">
      <c r="A22" s="19">
        <f t="shared" si="0"/>
        <v>21</v>
      </c>
      <c r="B22" s="20">
        <v>45759</v>
      </c>
      <c r="C22" s="21">
        <v>45759</v>
      </c>
      <c r="D22" s="22">
        <v>457090322</v>
      </c>
      <c r="E22" s="23" t="s">
        <v>38</v>
      </c>
      <c r="F22" s="24">
        <v>55440</v>
      </c>
      <c r="G22" s="24"/>
      <c r="H22" s="28" t="s">
        <v>903</v>
      </c>
      <c r="I22" s="26" t="s">
        <v>897</v>
      </c>
      <c r="J22" s="3"/>
      <c r="K22" s="3"/>
      <c r="L22" s="27"/>
      <c r="M22" s="3"/>
      <c r="N22" s="3"/>
    </row>
    <row r="23" spans="1:14" ht="15.75" x14ac:dyDescent="0.25">
      <c r="A23" s="19">
        <f t="shared" si="0"/>
        <v>22</v>
      </c>
      <c r="B23" s="20">
        <v>45760</v>
      </c>
      <c r="C23" s="21">
        <v>45760</v>
      </c>
      <c r="D23" s="22" t="s">
        <v>40</v>
      </c>
      <c r="E23" s="23" t="s">
        <v>39</v>
      </c>
      <c r="F23" s="24"/>
      <c r="G23" s="24">
        <v>9300</v>
      </c>
      <c r="H23" s="28" t="s">
        <v>896</v>
      </c>
      <c r="I23" s="26" t="s">
        <v>897</v>
      </c>
      <c r="J23" s="3"/>
      <c r="K23" s="3"/>
      <c r="L23" s="27"/>
      <c r="M23" s="3"/>
      <c r="N23" s="3"/>
    </row>
    <row r="24" spans="1:14" ht="15.75" x14ac:dyDescent="0.25">
      <c r="A24" s="19">
        <f t="shared" si="0"/>
        <v>23</v>
      </c>
      <c r="B24" s="20">
        <v>45762</v>
      </c>
      <c r="C24" s="21">
        <v>45762</v>
      </c>
      <c r="D24" s="22" t="s">
        <v>42</v>
      </c>
      <c r="E24" s="23" t="s">
        <v>41</v>
      </c>
      <c r="F24" s="24"/>
      <c r="G24" s="24">
        <v>28654</v>
      </c>
      <c r="H24" s="28" t="s">
        <v>896</v>
      </c>
      <c r="I24" s="26" t="s">
        <v>897</v>
      </c>
      <c r="J24" s="3"/>
      <c r="K24" s="3"/>
      <c r="L24" s="27"/>
      <c r="M24" s="3"/>
      <c r="N24" s="3"/>
    </row>
    <row r="25" spans="1:14" ht="15.75" x14ac:dyDescent="0.25">
      <c r="A25" s="19">
        <f t="shared" si="0"/>
        <v>24</v>
      </c>
      <c r="B25" s="20">
        <v>45762</v>
      </c>
      <c r="C25" s="21">
        <v>45762</v>
      </c>
      <c r="D25" s="22">
        <v>457349594</v>
      </c>
      <c r="E25" s="23" t="s">
        <v>13</v>
      </c>
      <c r="F25" s="24">
        <v>61332</v>
      </c>
      <c r="G25" s="24"/>
      <c r="H25" s="28" t="s">
        <v>899</v>
      </c>
      <c r="I25" s="26" t="s">
        <v>897</v>
      </c>
      <c r="J25" s="3"/>
      <c r="K25" s="3"/>
      <c r="L25" s="27"/>
      <c r="M25" s="3"/>
      <c r="N25" s="3"/>
    </row>
    <row r="26" spans="1:14" ht="15.75" x14ac:dyDescent="0.25">
      <c r="A26" s="19">
        <f t="shared" si="0"/>
        <v>25</v>
      </c>
      <c r="B26" s="20">
        <v>45762</v>
      </c>
      <c r="C26" s="21">
        <v>45762</v>
      </c>
      <c r="D26" s="22"/>
      <c r="E26" s="23" t="s">
        <v>43</v>
      </c>
      <c r="F26" s="24"/>
      <c r="G26" s="24">
        <v>62000</v>
      </c>
      <c r="H26" s="28" t="s">
        <v>900</v>
      </c>
      <c r="I26" s="26" t="s">
        <v>897</v>
      </c>
      <c r="J26" s="3"/>
      <c r="K26" s="3"/>
      <c r="L26" s="27"/>
      <c r="M26" s="3"/>
      <c r="N26" s="3"/>
    </row>
    <row r="27" spans="1:14" ht="15.75" x14ac:dyDescent="0.25">
      <c r="A27" s="19">
        <f t="shared" si="0"/>
        <v>26</v>
      </c>
      <c r="B27" s="20">
        <v>45762</v>
      </c>
      <c r="C27" s="21">
        <v>45762</v>
      </c>
      <c r="D27" s="22">
        <v>457486627</v>
      </c>
      <c r="E27" s="23" t="s">
        <v>44</v>
      </c>
      <c r="F27" s="24">
        <v>10000</v>
      </c>
      <c r="G27" s="24"/>
      <c r="H27" s="28" t="s">
        <v>904</v>
      </c>
      <c r="I27" s="26" t="s">
        <v>897</v>
      </c>
      <c r="J27" s="3"/>
      <c r="K27" s="3"/>
      <c r="L27" s="27"/>
      <c r="M27" s="3"/>
      <c r="N27" s="3"/>
    </row>
    <row r="28" spans="1:14" ht="15.75" x14ac:dyDescent="0.25">
      <c r="A28" s="19">
        <f t="shared" si="0"/>
        <v>27</v>
      </c>
      <c r="B28" s="20">
        <v>45763</v>
      </c>
      <c r="C28" s="21">
        <v>45763</v>
      </c>
      <c r="D28" s="22" t="s">
        <v>46</v>
      </c>
      <c r="E28" s="23" t="s">
        <v>45</v>
      </c>
      <c r="F28" s="24"/>
      <c r="G28" s="24">
        <v>9490</v>
      </c>
      <c r="H28" s="28" t="s">
        <v>896</v>
      </c>
      <c r="I28" s="26" t="s">
        <v>897</v>
      </c>
      <c r="J28" s="3"/>
      <c r="K28" s="3"/>
      <c r="L28" s="27"/>
      <c r="M28" s="3"/>
      <c r="N28" s="3"/>
    </row>
    <row r="29" spans="1:14" ht="15.75" x14ac:dyDescent="0.25">
      <c r="A29" s="19">
        <f t="shared" si="0"/>
        <v>28</v>
      </c>
      <c r="B29" s="20">
        <v>45764</v>
      </c>
      <c r="C29" s="21">
        <v>45764</v>
      </c>
      <c r="D29" s="22" t="s">
        <v>48</v>
      </c>
      <c r="E29" s="23" t="s">
        <v>47</v>
      </c>
      <c r="F29" s="24"/>
      <c r="G29" s="24">
        <v>12749</v>
      </c>
      <c r="H29" s="28" t="s">
        <v>896</v>
      </c>
      <c r="I29" s="26" t="s">
        <v>897</v>
      </c>
      <c r="J29" s="3"/>
      <c r="K29" s="3"/>
      <c r="L29" s="27"/>
      <c r="M29" s="3"/>
      <c r="N29" s="3"/>
    </row>
    <row r="30" spans="1:14" ht="15.75" x14ac:dyDescent="0.25">
      <c r="A30" s="19">
        <f t="shared" si="0"/>
        <v>29</v>
      </c>
      <c r="B30" s="20">
        <v>45764</v>
      </c>
      <c r="C30" s="21">
        <v>45764</v>
      </c>
      <c r="D30" s="22" t="s">
        <v>50</v>
      </c>
      <c r="E30" s="23" t="s">
        <v>49</v>
      </c>
      <c r="F30" s="24"/>
      <c r="G30" s="24">
        <v>390</v>
      </c>
      <c r="H30" s="28" t="s">
        <v>900</v>
      </c>
      <c r="I30" s="26" t="s">
        <v>897</v>
      </c>
      <c r="J30" s="3"/>
      <c r="K30" s="3"/>
      <c r="L30" s="27"/>
      <c r="M30" s="3"/>
      <c r="N30" s="3"/>
    </row>
    <row r="31" spans="1:14" ht="15.75" x14ac:dyDescent="0.25">
      <c r="A31" s="19">
        <f t="shared" si="0"/>
        <v>30</v>
      </c>
      <c r="B31" s="20">
        <v>45764</v>
      </c>
      <c r="C31" s="21">
        <v>45764</v>
      </c>
      <c r="D31" s="22" t="s">
        <v>52</v>
      </c>
      <c r="E31" s="23" t="s">
        <v>51</v>
      </c>
      <c r="F31" s="24"/>
      <c r="G31" s="24">
        <v>600</v>
      </c>
      <c r="H31" s="28" t="s">
        <v>905</v>
      </c>
      <c r="I31" s="26" t="s">
        <v>897</v>
      </c>
      <c r="J31" s="3"/>
      <c r="K31" s="3"/>
      <c r="L31" s="27"/>
      <c r="M31" s="3"/>
      <c r="N31" s="3"/>
    </row>
    <row r="32" spans="1:14" ht="15.75" x14ac:dyDescent="0.25">
      <c r="A32" s="19">
        <f t="shared" si="0"/>
        <v>31</v>
      </c>
      <c r="B32" s="20">
        <v>45764</v>
      </c>
      <c r="C32" s="21">
        <v>45764</v>
      </c>
      <c r="D32" s="22" t="s">
        <v>54</v>
      </c>
      <c r="E32" s="23" t="s">
        <v>53</v>
      </c>
      <c r="F32" s="24"/>
      <c r="G32" s="24">
        <v>10498</v>
      </c>
      <c r="H32" s="28" t="s">
        <v>906</v>
      </c>
      <c r="I32" s="26" t="s">
        <v>897</v>
      </c>
      <c r="J32" s="3"/>
      <c r="K32" s="3"/>
      <c r="L32" s="27"/>
      <c r="M32" s="3"/>
      <c r="N32" s="3"/>
    </row>
    <row r="33" spans="1:14" ht="15.75" x14ac:dyDescent="0.25">
      <c r="A33" s="19">
        <f t="shared" si="0"/>
        <v>32</v>
      </c>
      <c r="B33" s="20">
        <v>45764</v>
      </c>
      <c r="C33" s="21">
        <v>45764</v>
      </c>
      <c r="D33" s="22" t="s">
        <v>56</v>
      </c>
      <c r="E33" s="23" t="s">
        <v>55</v>
      </c>
      <c r="F33" s="24">
        <v>5000</v>
      </c>
      <c r="G33" s="24"/>
      <c r="H33" s="28" t="s">
        <v>907</v>
      </c>
      <c r="I33" s="26" t="s">
        <v>897</v>
      </c>
      <c r="J33" s="3"/>
      <c r="K33" s="3"/>
      <c r="L33" s="27"/>
      <c r="M33" s="3"/>
      <c r="N33" s="3"/>
    </row>
    <row r="34" spans="1:14" ht="15.75" x14ac:dyDescent="0.25">
      <c r="A34" s="19">
        <f t="shared" si="0"/>
        <v>33</v>
      </c>
      <c r="B34" s="20">
        <v>45764</v>
      </c>
      <c r="C34" s="21">
        <v>45764</v>
      </c>
      <c r="D34" s="22">
        <v>457944056</v>
      </c>
      <c r="E34" s="23" t="s">
        <v>57</v>
      </c>
      <c r="F34" s="24">
        <v>20000</v>
      </c>
      <c r="G34" s="24"/>
      <c r="H34" s="28" t="s">
        <v>903</v>
      </c>
      <c r="I34" s="26" t="s">
        <v>897</v>
      </c>
      <c r="J34" s="3"/>
      <c r="K34" s="3"/>
      <c r="L34" s="27"/>
      <c r="M34" s="3"/>
      <c r="N34" s="3"/>
    </row>
    <row r="35" spans="1:14" ht="15.75" x14ac:dyDescent="0.25">
      <c r="A35" s="19">
        <f t="shared" si="0"/>
        <v>34</v>
      </c>
      <c r="B35" s="20">
        <v>45765</v>
      </c>
      <c r="C35" s="20">
        <v>45765</v>
      </c>
      <c r="D35" s="22" t="s">
        <v>59</v>
      </c>
      <c r="E35" s="23" t="s">
        <v>58</v>
      </c>
      <c r="F35" s="24"/>
      <c r="G35" s="24">
        <v>5369</v>
      </c>
      <c r="H35" s="28" t="s">
        <v>896</v>
      </c>
      <c r="I35" s="26" t="s">
        <v>897</v>
      </c>
      <c r="J35" s="3"/>
      <c r="K35" s="3"/>
      <c r="L35" s="9"/>
      <c r="M35" s="3"/>
      <c r="N35" s="3"/>
    </row>
    <row r="36" spans="1:14" ht="15.75" x14ac:dyDescent="0.25">
      <c r="A36" s="19">
        <f t="shared" si="0"/>
        <v>35</v>
      </c>
      <c r="B36" s="20">
        <v>45765</v>
      </c>
      <c r="C36" s="20">
        <v>45765</v>
      </c>
      <c r="D36" s="22">
        <v>457958694</v>
      </c>
      <c r="E36" s="23" t="s">
        <v>57</v>
      </c>
      <c r="F36" s="24">
        <v>10000</v>
      </c>
      <c r="G36" s="24"/>
      <c r="H36" s="28" t="s">
        <v>903</v>
      </c>
      <c r="I36" s="26" t="s">
        <v>897</v>
      </c>
      <c r="J36" s="3"/>
      <c r="K36" s="3"/>
      <c r="L36" s="9"/>
      <c r="M36" s="3"/>
      <c r="N36" s="3"/>
    </row>
    <row r="37" spans="1:14" ht="15.75" x14ac:dyDescent="0.25">
      <c r="A37" s="19">
        <f t="shared" si="0"/>
        <v>36</v>
      </c>
      <c r="B37" s="20">
        <v>45765</v>
      </c>
      <c r="C37" s="20">
        <v>45765</v>
      </c>
      <c r="D37" s="22" t="s">
        <v>61</v>
      </c>
      <c r="E37" s="23" t="s">
        <v>60</v>
      </c>
      <c r="F37" s="24"/>
      <c r="G37" s="24">
        <v>2700</v>
      </c>
      <c r="H37" s="29" t="s">
        <v>903</v>
      </c>
      <c r="I37" s="26" t="s">
        <v>897</v>
      </c>
      <c r="J37" s="3"/>
      <c r="K37" s="3"/>
      <c r="L37" s="9"/>
      <c r="M37" s="3"/>
      <c r="N37" s="3"/>
    </row>
    <row r="38" spans="1:14" ht="15.75" x14ac:dyDescent="0.25">
      <c r="A38" s="19">
        <f t="shared" si="0"/>
        <v>37</v>
      </c>
      <c r="B38" s="20">
        <v>45765</v>
      </c>
      <c r="C38" s="20">
        <v>45765</v>
      </c>
      <c r="D38" s="22">
        <v>458018347</v>
      </c>
      <c r="E38" s="23" t="s">
        <v>62</v>
      </c>
      <c r="F38" s="24">
        <v>2500</v>
      </c>
      <c r="G38" s="24"/>
      <c r="H38" s="28" t="s">
        <v>904</v>
      </c>
      <c r="I38" s="26" t="s">
        <v>897</v>
      </c>
      <c r="J38" s="3"/>
      <c r="K38" s="3"/>
      <c r="L38" s="9"/>
      <c r="M38" s="3"/>
      <c r="N38" s="3"/>
    </row>
    <row r="39" spans="1:14" ht="15.75" x14ac:dyDescent="0.25">
      <c r="A39" s="19">
        <f t="shared" si="0"/>
        <v>38</v>
      </c>
      <c r="B39" s="20">
        <v>45765</v>
      </c>
      <c r="C39" s="20">
        <v>45765</v>
      </c>
      <c r="D39" s="22">
        <v>458022296</v>
      </c>
      <c r="E39" s="23" t="s">
        <v>63</v>
      </c>
      <c r="F39" s="24">
        <v>18000</v>
      </c>
      <c r="G39" s="24"/>
      <c r="H39" t="s">
        <v>908</v>
      </c>
      <c r="I39" s="26" t="s">
        <v>897</v>
      </c>
      <c r="J39" s="3"/>
      <c r="K39" s="3"/>
      <c r="L39" s="9"/>
      <c r="M39" s="3"/>
      <c r="N39" s="3"/>
    </row>
    <row r="40" spans="1:14" ht="15.75" x14ac:dyDescent="0.25">
      <c r="A40" s="19">
        <f t="shared" si="0"/>
        <v>39</v>
      </c>
      <c r="B40" s="20">
        <v>45765</v>
      </c>
      <c r="C40" s="20">
        <v>45765</v>
      </c>
      <c r="D40" s="22">
        <v>458056716</v>
      </c>
      <c r="E40" s="23" t="s">
        <v>64</v>
      </c>
      <c r="F40" s="24">
        <v>28000</v>
      </c>
      <c r="G40" s="24"/>
      <c r="H40" s="28" t="s">
        <v>909</v>
      </c>
      <c r="I40" s="26" t="s">
        <v>897</v>
      </c>
      <c r="J40" s="3"/>
      <c r="K40" s="3"/>
      <c r="L40" s="9"/>
      <c r="M40" s="3"/>
      <c r="N40" s="3"/>
    </row>
    <row r="41" spans="1:14" ht="15.75" x14ac:dyDescent="0.25">
      <c r="A41" s="19">
        <f t="shared" si="0"/>
        <v>40</v>
      </c>
      <c r="B41" s="20">
        <v>45766</v>
      </c>
      <c r="C41" s="20">
        <v>45766</v>
      </c>
      <c r="D41" s="22" t="s">
        <v>66</v>
      </c>
      <c r="E41" s="23" t="s">
        <v>65</v>
      </c>
      <c r="F41" s="24"/>
      <c r="G41" s="24">
        <v>8050</v>
      </c>
      <c r="H41" s="28" t="s">
        <v>896</v>
      </c>
      <c r="I41" s="26" t="s">
        <v>897</v>
      </c>
      <c r="J41" s="3"/>
      <c r="K41" s="3"/>
      <c r="L41" s="9"/>
      <c r="M41" s="3"/>
      <c r="N41" s="3"/>
    </row>
    <row r="42" spans="1:14" ht="15.75" x14ac:dyDescent="0.25">
      <c r="A42" s="19">
        <f t="shared" si="0"/>
        <v>41</v>
      </c>
      <c r="B42" s="20">
        <v>45766</v>
      </c>
      <c r="C42" s="20">
        <v>45766</v>
      </c>
      <c r="D42" s="22">
        <v>458100006</v>
      </c>
      <c r="E42" s="23" t="s">
        <v>67</v>
      </c>
      <c r="F42" s="24">
        <v>5560</v>
      </c>
      <c r="G42" s="24"/>
      <c r="H42" s="28" t="s">
        <v>903</v>
      </c>
      <c r="I42" s="26" t="s">
        <v>897</v>
      </c>
      <c r="J42" s="3"/>
      <c r="K42" s="3"/>
      <c r="L42" s="9"/>
      <c r="M42" s="3"/>
      <c r="N42" s="3"/>
    </row>
    <row r="43" spans="1:14" ht="15.75" x14ac:dyDescent="0.25">
      <c r="A43" s="19">
        <f t="shared" si="0"/>
        <v>42</v>
      </c>
      <c r="B43" s="20">
        <v>45766</v>
      </c>
      <c r="C43" s="20">
        <v>45766</v>
      </c>
      <c r="D43" s="22">
        <v>458100203</v>
      </c>
      <c r="E43" s="23" t="s">
        <v>67</v>
      </c>
      <c r="F43" s="24">
        <v>5800</v>
      </c>
      <c r="G43" s="24"/>
      <c r="H43" s="28" t="s">
        <v>903</v>
      </c>
      <c r="I43" s="26" t="s">
        <v>897</v>
      </c>
      <c r="J43" s="3"/>
      <c r="K43" s="3"/>
      <c r="L43" s="9"/>
      <c r="M43" s="3"/>
      <c r="N43" s="3"/>
    </row>
    <row r="44" spans="1:14" ht="15.75" x14ac:dyDescent="0.25">
      <c r="A44" s="19">
        <f t="shared" si="0"/>
        <v>43</v>
      </c>
      <c r="B44" s="20">
        <v>45767</v>
      </c>
      <c r="C44" s="20">
        <v>45767</v>
      </c>
      <c r="D44" s="22" t="s">
        <v>69</v>
      </c>
      <c r="E44" s="23" t="s">
        <v>68</v>
      </c>
      <c r="F44" s="24"/>
      <c r="G44" s="24">
        <v>4000</v>
      </c>
      <c r="H44" s="28" t="s">
        <v>896</v>
      </c>
      <c r="I44" s="26" t="s">
        <v>897</v>
      </c>
      <c r="J44" s="3"/>
      <c r="K44" s="3"/>
      <c r="L44" s="9"/>
      <c r="M44" s="3"/>
      <c r="N44" s="3"/>
    </row>
    <row r="45" spans="1:14" ht="15.75" x14ac:dyDescent="0.25">
      <c r="A45" s="19">
        <f t="shared" si="0"/>
        <v>44</v>
      </c>
      <c r="B45" s="20">
        <v>45769</v>
      </c>
      <c r="C45" s="20">
        <v>45769</v>
      </c>
      <c r="D45" s="22" t="s">
        <v>71</v>
      </c>
      <c r="E45" s="23" t="s">
        <v>70</v>
      </c>
      <c r="F45" s="24"/>
      <c r="G45" s="24">
        <v>16019</v>
      </c>
      <c r="H45" s="28" t="s">
        <v>896</v>
      </c>
      <c r="I45" s="26" t="s">
        <v>897</v>
      </c>
      <c r="J45" s="3"/>
      <c r="K45" s="3"/>
      <c r="L45" s="9"/>
      <c r="M45" s="3"/>
      <c r="N45" s="3"/>
    </row>
    <row r="46" spans="1:14" ht="15.75" x14ac:dyDescent="0.25">
      <c r="A46" s="19">
        <f t="shared" si="0"/>
        <v>45</v>
      </c>
      <c r="B46" s="20">
        <v>45770</v>
      </c>
      <c r="C46" s="20">
        <v>45770</v>
      </c>
      <c r="D46" s="22" t="s">
        <v>73</v>
      </c>
      <c r="E46" s="23" t="s">
        <v>72</v>
      </c>
      <c r="F46" s="24"/>
      <c r="G46" s="24">
        <v>10800</v>
      </c>
      <c r="H46" s="28" t="s">
        <v>896</v>
      </c>
      <c r="I46" s="26" t="s">
        <v>897</v>
      </c>
      <c r="J46" s="3"/>
      <c r="K46" s="3"/>
      <c r="L46" s="9"/>
      <c r="M46" s="3"/>
      <c r="N46" s="3"/>
    </row>
    <row r="47" spans="1:14" ht="15.75" x14ac:dyDescent="0.25">
      <c r="A47" s="19">
        <f t="shared" si="0"/>
        <v>46</v>
      </c>
      <c r="B47" s="20">
        <v>45770</v>
      </c>
      <c r="C47" s="20">
        <v>45770</v>
      </c>
      <c r="D47" s="22">
        <v>458687599</v>
      </c>
      <c r="E47" s="23" t="s">
        <v>74</v>
      </c>
      <c r="F47" s="24">
        <v>55440</v>
      </c>
      <c r="G47" s="24"/>
      <c r="H47" s="28" t="s">
        <v>903</v>
      </c>
      <c r="I47" s="26" t="s">
        <v>897</v>
      </c>
      <c r="J47" s="3"/>
      <c r="K47" s="3"/>
      <c r="L47" s="9"/>
      <c r="M47" s="3"/>
      <c r="N47" s="3"/>
    </row>
    <row r="48" spans="1:14" ht="15.75" x14ac:dyDescent="0.25">
      <c r="A48" s="19">
        <f t="shared" si="0"/>
        <v>47</v>
      </c>
      <c r="B48" s="20">
        <v>45770</v>
      </c>
      <c r="C48" s="20">
        <v>45770</v>
      </c>
      <c r="D48" s="22">
        <v>511305703307</v>
      </c>
      <c r="E48" s="23" t="s">
        <v>23</v>
      </c>
      <c r="F48" s="24"/>
      <c r="G48" s="24">
        <v>30500</v>
      </c>
      <c r="H48" s="28" t="s">
        <v>900</v>
      </c>
      <c r="I48" s="26" t="s">
        <v>897</v>
      </c>
      <c r="J48" s="3"/>
      <c r="K48" s="3"/>
      <c r="L48" s="9"/>
      <c r="M48" s="3"/>
      <c r="N48" s="3"/>
    </row>
    <row r="49" spans="1:14" ht="15.75" x14ac:dyDescent="0.25">
      <c r="A49" s="19">
        <f t="shared" si="0"/>
        <v>48</v>
      </c>
      <c r="B49" s="20">
        <v>45770</v>
      </c>
      <c r="C49" s="20">
        <v>45770</v>
      </c>
      <c r="D49" s="22" t="s">
        <v>76</v>
      </c>
      <c r="E49" s="23" t="s">
        <v>75</v>
      </c>
      <c r="F49" s="24"/>
      <c r="G49" s="24">
        <v>18000</v>
      </c>
      <c r="H49" s="28" t="s">
        <v>905</v>
      </c>
      <c r="I49" s="26" t="s">
        <v>897</v>
      </c>
      <c r="J49" s="3"/>
      <c r="K49" s="3"/>
      <c r="L49" s="9"/>
      <c r="M49" s="3"/>
      <c r="N49" s="3"/>
    </row>
    <row r="50" spans="1:14" ht="15.75" x14ac:dyDescent="0.25">
      <c r="A50" s="19">
        <f t="shared" si="0"/>
        <v>49</v>
      </c>
      <c r="B50" s="20">
        <v>45770</v>
      </c>
      <c r="C50" s="20">
        <v>45770</v>
      </c>
      <c r="D50" s="22">
        <v>458733118</v>
      </c>
      <c r="E50" s="23" t="s">
        <v>77</v>
      </c>
      <c r="F50" s="24">
        <v>33080</v>
      </c>
      <c r="G50" s="24"/>
      <c r="H50" s="28" t="s">
        <v>910</v>
      </c>
      <c r="I50" s="26" t="s">
        <v>897</v>
      </c>
      <c r="J50" s="3"/>
      <c r="K50" s="3"/>
      <c r="L50" s="9"/>
      <c r="M50" s="3"/>
      <c r="N50" s="3"/>
    </row>
    <row r="51" spans="1:14" ht="15.75" x14ac:dyDescent="0.25">
      <c r="A51" s="19">
        <f t="shared" si="0"/>
        <v>50</v>
      </c>
      <c r="B51" s="20">
        <v>45771</v>
      </c>
      <c r="C51" s="20">
        <v>45771</v>
      </c>
      <c r="D51" s="22" t="s">
        <v>79</v>
      </c>
      <c r="E51" s="23" t="s">
        <v>78</v>
      </c>
      <c r="F51" s="24"/>
      <c r="G51" s="24">
        <v>23180</v>
      </c>
      <c r="H51" s="28" t="s">
        <v>896</v>
      </c>
      <c r="I51" s="26" t="s">
        <v>897</v>
      </c>
      <c r="J51" s="3"/>
      <c r="K51" s="3"/>
      <c r="L51" s="9"/>
      <c r="M51" s="3"/>
      <c r="N51" s="3"/>
    </row>
    <row r="52" spans="1:14" ht="15.75" x14ac:dyDescent="0.25">
      <c r="A52" s="19">
        <f t="shared" si="0"/>
        <v>51</v>
      </c>
      <c r="B52" s="20">
        <v>45771</v>
      </c>
      <c r="C52" s="20">
        <v>45771</v>
      </c>
      <c r="D52" s="22" t="s">
        <v>81</v>
      </c>
      <c r="E52" s="23" t="s">
        <v>80</v>
      </c>
      <c r="F52" s="24"/>
      <c r="G52" s="24">
        <v>1</v>
      </c>
      <c r="H52" s="28" t="s">
        <v>911</v>
      </c>
      <c r="I52" s="26" t="s">
        <v>897</v>
      </c>
      <c r="J52" s="3"/>
      <c r="K52" s="3"/>
      <c r="L52" s="9"/>
      <c r="M52" s="3"/>
      <c r="N52" s="3"/>
    </row>
    <row r="53" spans="1:14" ht="15.75" x14ac:dyDescent="0.25">
      <c r="A53" s="19">
        <f t="shared" si="0"/>
        <v>52</v>
      </c>
      <c r="B53" s="20">
        <v>45771</v>
      </c>
      <c r="C53" s="20">
        <v>45771</v>
      </c>
      <c r="D53" s="22" t="s">
        <v>83</v>
      </c>
      <c r="E53" s="23" t="s">
        <v>82</v>
      </c>
      <c r="F53" s="24"/>
      <c r="G53" s="24">
        <v>199000</v>
      </c>
      <c r="H53" s="28" t="s">
        <v>911</v>
      </c>
      <c r="I53" s="26" t="s">
        <v>897</v>
      </c>
      <c r="J53" s="3"/>
      <c r="K53" s="3"/>
      <c r="L53" s="9"/>
      <c r="M53" s="3"/>
      <c r="N53" s="3"/>
    </row>
    <row r="54" spans="1:14" ht="15.75" x14ac:dyDescent="0.25">
      <c r="A54" s="19">
        <f t="shared" si="0"/>
        <v>53</v>
      </c>
      <c r="B54" s="20">
        <v>45771</v>
      </c>
      <c r="C54" s="20">
        <v>45771</v>
      </c>
      <c r="D54" s="22">
        <v>458928194</v>
      </c>
      <c r="E54" s="23" t="s">
        <v>84</v>
      </c>
      <c r="F54" s="24">
        <v>1</v>
      </c>
      <c r="G54" s="24"/>
      <c r="H54" s="28" t="s">
        <v>912</v>
      </c>
      <c r="I54" s="26" t="s">
        <v>897</v>
      </c>
      <c r="J54" s="3"/>
      <c r="K54" s="3"/>
      <c r="L54" s="9"/>
      <c r="M54" s="3"/>
      <c r="N54" s="3"/>
    </row>
    <row r="55" spans="1:14" ht="15.75" x14ac:dyDescent="0.25">
      <c r="A55" s="19">
        <f t="shared" si="0"/>
        <v>54</v>
      </c>
      <c r="B55" s="20">
        <v>45771</v>
      </c>
      <c r="C55" s="20">
        <v>45771</v>
      </c>
      <c r="D55" s="22">
        <v>458988358</v>
      </c>
      <c r="E55" s="23" t="s">
        <v>84</v>
      </c>
      <c r="F55" s="24">
        <v>24000</v>
      </c>
      <c r="G55" s="24"/>
      <c r="H55" s="28" t="s">
        <v>912</v>
      </c>
      <c r="I55" s="26" t="s">
        <v>897</v>
      </c>
      <c r="J55" s="3"/>
      <c r="K55" s="3"/>
      <c r="L55" s="9"/>
      <c r="M55" s="3"/>
      <c r="N55" s="3"/>
    </row>
    <row r="56" spans="1:14" ht="15.75" x14ac:dyDescent="0.25">
      <c r="A56" s="19">
        <f t="shared" si="0"/>
        <v>55</v>
      </c>
      <c r="B56" s="20">
        <v>45772</v>
      </c>
      <c r="C56" s="20">
        <v>45772</v>
      </c>
      <c r="D56" s="22" t="s">
        <v>86</v>
      </c>
      <c r="E56" s="23" t="s">
        <v>85</v>
      </c>
      <c r="F56" s="24"/>
      <c r="G56" s="24">
        <v>4700</v>
      </c>
      <c r="H56" s="28" t="s">
        <v>896</v>
      </c>
      <c r="I56" s="26" t="s">
        <v>897</v>
      </c>
      <c r="J56" s="3"/>
      <c r="K56" s="3"/>
      <c r="L56" s="9"/>
      <c r="M56" s="3"/>
      <c r="N56" s="3"/>
    </row>
    <row r="57" spans="1:14" ht="15.75" x14ac:dyDescent="0.25">
      <c r="A57" s="19">
        <f t="shared" si="0"/>
        <v>56</v>
      </c>
      <c r="B57" s="20">
        <v>45772</v>
      </c>
      <c r="C57" s="20">
        <v>45772</v>
      </c>
      <c r="D57" s="22">
        <v>459096832</v>
      </c>
      <c r="E57" s="23" t="s">
        <v>84</v>
      </c>
      <c r="F57" s="24">
        <v>183500</v>
      </c>
      <c r="G57" s="24"/>
      <c r="H57" s="28" t="s">
        <v>912</v>
      </c>
      <c r="I57" s="26" t="s">
        <v>897</v>
      </c>
      <c r="J57" s="3"/>
      <c r="K57" s="3"/>
      <c r="L57" s="9"/>
      <c r="M57" s="3"/>
      <c r="N57" s="3"/>
    </row>
    <row r="58" spans="1:14" ht="15.75" x14ac:dyDescent="0.25">
      <c r="A58" s="19">
        <f t="shared" si="0"/>
        <v>57</v>
      </c>
      <c r="B58" s="20">
        <v>45773</v>
      </c>
      <c r="C58" s="20">
        <v>45773</v>
      </c>
      <c r="D58" s="22" t="s">
        <v>88</v>
      </c>
      <c r="E58" s="23" t="s">
        <v>87</v>
      </c>
      <c r="F58" s="24"/>
      <c r="G58" s="24">
        <v>25849</v>
      </c>
      <c r="H58" s="28" t="s">
        <v>896</v>
      </c>
      <c r="I58" s="26" t="s">
        <v>897</v>
      </c>
      <c r="J58" s="3"/>
      <c r="K58" s="3"/>
      <c r="L58" s="9"/>
      <c r="M58" s="3"/>
      <c r="N58" s="3"/>
    </row>
    <row r="59" spans="1:14" ht="15.75" x14ac:dyDescent="0.25">
      <c r="A59" s="19">
        <f t="shared" si="0"/>
        <v>58</v>
      </c>
      <c r="B59" s="20">
        <v>45774</v>
      </c>
      <c r="C59" s="20">
        <v>45774</v>
      </c>
      <c r="D59" s="22" t="s">
        <v>90</v>
      </c>
      <c r="E59" s="23" t="s">
        <v>89</v>
      </c>
      <c r="F59" s="24"/>
      <c r="G59" s="24">
        <v>13300</v>
      </c>
      <c r="H59" s="28" t="s">
        <v>896</v>
      </c>
      <c r="I59" s="26" t="s">
        <v>897</v>
      </c>
      <c r="J59" s="3"/>
      <c r="K59" s="3"/>
      <c r="L59" s="9"/>
      <c r="M59" s="3"/>
      <c r="N59" s="3"/>
    </row>
    <row r="60" spans="1:14" ht="15.75" x14ac:dyDescent="0.25">
      <c r="A60" s="19">
        <f t="shared" si="0"/>
        <v>59</v>
      </c>
      <c r="B60" s="20">
        <v>45776</v>
      </c>
      <c r="C60" s="20">
        <v>45776</v>
      </c>
      <c r="D60" s="22" t="s">
        <v>92</v>
      </c>
      <c r="E60" s="23" t="s">
        <v>91</v>
      </c>
      <c r="F60" s="24"/>
      <c r="G60" s="24">
        <v>15849</v>
      </c>
      <c r="H60" s="28" t="s">
        <v>896</v>
      </c>
      <c r="I60" s="26" t="s">
        <v>897</v>
      </c>
      <c r="J60" s="3"/>
      <c r="K60" s="3"/>
      <c r="L60" s="9"/>
      <c r="M60" s="3"/>
      <c r="N60" s="3"/>
    </row>
    <row r="61" spans="1:14" ht="15.75" x14ac:dyDescent="0.25">
      <c r="A61" s="19">
        <f t="shared" si="0"/>
        <v>60</v>
      </c>
      <c r="B61" s="20">
        <v>45777</v>
      </c>
      <c r="C61" s="20">
        <v>45777</v>
      </c>
      <c r="D61" s="22" t="s">
        <v>94</v>
      </c>
      <c r="E61" s="23" t="s">
        <v>93</v>
      </c>
      <c r="F61" s="24"/>
      <c r="G61" s="24">
        <v>5872</v>
      </c>
      <c r="H61" s="28" t="s">
        <v>896</v>
      </c>
      <c r="I61" s="26" t="s">
        <v>897</v>
      </c>
      <c r="J61" s="3"/>
      <c r="K61" s="3"/>
      <c r="L61" s="9"/>
      <c r="M61" s="3"/>
      <c r="N61" s="3"/>
    </row>
    <row r="62" spans="1:14" ht="15.75" x14ac:dyDescent="0.25">
      <c r="A62" s="19">
        <f t="shared" si="0"/>
        <v>61</v>
      </c>
      <c r="B62" s="20">
        <v>45778</v>
      </c>
      <c r="C62" s="20">
        <v>45778</v>
      </c>
      <c r="D62" s="22" t="s">
        <v>96</v>
      </c>
      <c r="E62" s="23" t="s">
        <v>95</v>
      </c>
      <c r="F62" s="24"/>
      <c r="G62" s="24">
        <v>6000</v>
      </c>
      <c r="H62" s="28" t="s">
        <v>896</v>
      </c>
      <c r="I62" s="26" t="s">
        <v>897</v>
      </c>
      <c r="J62" s="3"/>
      <c r="K62" s="3"/>
      <c r="L62" s="9"/>
      <c r="M62" s="3"/>
      <c r="N62" s="3"/>
    </row>
    <row r="63" spans="1:14" ht="15.75" x14ac:dyDescent="0.25">
      <c r="A63" s="19">
        <f t="shared" si="0"/>
        <v>62</v>
      </c>
      <c r="B63" s="20">
        <v>45778</v>
      </c>
      <c r="C63" s="20">
        <v>45778</v>
      </c>
      <c r="D63" s="22">
        <v>460017069</v>
      </c>
      <c r="E63" s="23" t="s">
        <v>13</v>
      </c>
      <c r="F63" s="24">
        <v>60000</v>
      </c>
      <c r="G63" s="24"/>
      <c r="H63" s="28" t="s">
        <v>899</v>
      </c>
      <c r="I63" s="26" t="s">
        <v>897</v>
      </c>
      <c r="J63" s="3"/>
      <c r="K63" s="3"/>
      <c r="L63" s="9"/>
      <c r="M63" s="3"/>
      <c r="N63" s="3"/>
    </row>
    <row r="64" spans="1:14" ht="15.75" x14ac:dyDescent="0.25">
      <c r="A64" s="19">
        <f t="shared" si="0"/>
        <v>63</v>
      </c>
      <c r="B64" s="20">
        <v>45780</v>
      </c>
      <c r="C64" s="20">
        <v>45780</v>
      </c>
      <c r="D64" s="22" t="s">
        <v>98</v>
      </c>
      <c r="E64" s="23" t="s">
        <v>97</v>
      </c>
      <c r="F64" s="24"/>
      <c r="G64" s="24">
        <v>20300</v>
      </c>
      <c r="H64" s="28" t="s">
        <v>896</v>
      </c>
      <c r="I64" s="26" t="s">
        <v>897</v>
      </c>
      <c r="J64" s="3"/>
      <c r="K64" s="3"/>
      <c r="L64" s="9"/>
      <c r="M64" s="3"/>
      <c r="N64" s="3"/>
    </row>
    <row r="65" spans="1:14" ht="15.75" x14ac:dyDescent="0.25">
      <c r="A65" s="19">
        <f t="shared" si="0"/>
        <v>64</v>
      </c>
      <c r="B65" s="20">
        <v>45780</v>
      </c>
      <c r="C65" s="20">
        <v>45780</v>
      </c>
      <c r="D65" s="22">
        <v>460411915</v>
      </c>
      <c r="E65" s="23" t="s">
        <v>64</v>
      </c>
      <c r="F65" s="24">
        <v>15000</v>
      </c>
      <c r="G65" s="24"/>
      <c r="H65" s="28" t="s">
        <v>909</v>
      </c>
      <c r="I65" s="26" t="s">
        <v>897</v>
      </c>
      <c r="J65" s="3"/>
      <c r="K65" s="3"/>
      <c r="L65" s="9"/>
      <c r="M65" s="3"/>
      <c r="N65" s="3"/>
    </row>
    <row r="66" spans="1:14" ht="15.75" x14ac:dyDescent="0.25">
      <c r="A66" s="19">
        <f t="shared" si="0"/>
        <v>65</v>
      </c>
      <c r="B66" s="20">
        <v>45781</v>
      </c>
      <c r="C66" s="20">
        <v>45781</v>
      </c>
      <c r="D66" s="22" t="s">
        <v>100</v>
      </c>
      <c r="E66" s="23" t="s">
        <v>99</v>
      </c>
      <c r="F66" s="24"/>
      <c r="G66" s="24">
        <v>24399</v>
      </c>
      <c r="H66" s="28" t="s">
        <v>896</v>
      </c>
      <c r="I66" s="26" t="s">
        <v>897</v>
      </c>
      <c r="J66" s="3"/>
      <c r="K66" s="3"/>
      <c r="L66" s="9"/>
      <c r="M66" s="3"/>
      <c r="N66" s="3"/>
    </row>
    <row r="67" spans="1:14" ht="15.75" x14ac:dyDescent="0.25">
      <c r="A67" s="19">
        <f t="shared" si="0"/>
        <v>66</v>
      </c>
      <c r="B67" s="20">
        <v>45782</v>
      </c>
      <c r="C67" s="20">
        <v>45782</v>
      </c>
      <c r="D67" s="22">
        <v>512507704789</v>
      </c>
      <c r="E67" s="23" t="s">
        <v>23</v>
      </c>
      <c r="F67" s="24"/>
      <c r="G67" s="24">
        <v>43000</v>
      </c>
      <c r="H67" s="28" t="s">
        <v>900</v>
      </c>
      <c r="I67" s="26" t="s">
        <v>897</v>
      </c>
      <c r="J67" s="3"/>
      <c r="K67" s="3"/>
      <c r="L67" s="9"/>
      <c r="M67" s="3"/>
      <c r="N67" s="3"/>
    </row>
    <row r="68" spans="1:14" ht="15.75" x14ac:dyDescent="0.25">
      <c r="A68" s="19">
        <f t="shared" ref="A68:A131" si="1">1+A67</f>
        <v>67</v>
      </c>
      <c r="B68" s="20">
        <v>45782</v>
      </c>
      <c r="C68" s="20">
        <v>45782</v>
      </c>
      <c r="D68" s="22" t="s">
        <v>102</v>
      </c>
      <c r="E68" s="23" t="s">
        <v>101</v>
      </c>
      <c r="F68" s="24"/>
      <c r="G68" s="24">
        <v>4685</v>
      </c>
      <c r="H68" s="28" t="s">
        <v>905</v>
      </c>
      <c r="I68" s="26" t="s">
        <v>897</v>
      </c>
      <c r="J68" s="3"/>
      <c r="K68" s="3"/>
      <c r="L68" s="9"/>
      <c r="M68" s="3"/>
      <c r="N68" s="3"/>
    </row>
    <row r="69" spans="1:14" ht="15.75" x14ac:dyDescent="0.25">
      <c r="A69" s="19">
        <f t="shared" si="1"/>
        <v>68</v>
      </c>
      <c r="B69" s="20">
        <v>45783</v>
      </c>
      <c r="C69" s="20">
        <v>45783</v>
      </c>
      <c r="D69" s="22" t="s">
        <v>104</v>
      </c>
      <c r="E69" s="23" t="s">
        <v>103</v>
      </c>
      <c r="F69" s="24"/>
      <c r="G69" s="24">
        <v>7000</v>
      </c>
      <c r="H69" s="28" t="s">
        <v>896</v>
      </c>
      <c r="I69" s="26" t="s">
        <v>897</v>
      </c>
      <c r="J69" s="3"/>
      <c r="K69" s="3"/>
      <c r="L69" s="9"/>
      <c r="M69" s="3"/>
      <c r="N69" s="3"/>
    </row>
    <row r="70" spans="1:14" ht="15.75" x14ac:dyDescent="0.25">
      <c r="A70" s="19">
        <f t="shared" si="1"/>
        <v>69</v>
      </c>
      <c r="B70" s="20">
        <v>45784</v>
      </c>
      <c r="C70" s="20">
        <v>45784</v>
      </c>
      <c r="D70" s="22" t="s">
        <v>106</v>
      </c>
      <c r="E70" s="23" t="s">
        <v>105</v>
      </c>
      <c r="F70" s="24"/>
      <c r="G70" s="24">
        <v>14849</v>
      </c>
      <c r="H70" s="28" t="s">
        <v>896</v>
      </c>
      <c r="I70" s="26" t="s">
        <v>897</v>
      </c>
      <c r="J70" s="3"/>
      <c r="K70" s="3"/>
      <c r="L70" s="9"/>
      <c r="M70" s="3"/>
      <c r="N70" s="3"/>
    </row>
    <row r="71" spans="1:14" ht="15.75" x14ac:dyDescent="0.25">
      <c r="A71" s="19">
        <f t="shared" si="1"/>
        <v>70</v>
      </c>
      <c r="B71" s="20">
        <v>45785</v>
      </c>
      <c r="C71" s="20">
        <v>45785</v>
      </c>
      <c r="D71" s="22" t="s">
        <v>108</v>
      </c>
      <c r="E71" s="23" t="s">
        <v>107</v>
      </c>
      <c r="F71" s="24"/>
      <c r="G71" s="24">
        <v>3300</v>
      </c>
      <c r="H71" s="28" t="s">
        <v>896</v>
      </c>
      <c r="I71" s="26" t="s">
        <v>897</v>
      </c>
      <c r="J71" s="3"/>
      <c r="K71" s="3"/>
      <c r="L71" s="9"/>
      <c r="M71" s="3"/>
      <c r="N71" s="3"/>
    </row>
    <row r="72" spans="1:14" ht="15.75" x14ac:dyDescent="0.25">
      <c r="A72" s="19">
        <f t="shared" si="1"/>
        <v>71</v>
      </c>
      <c r="B72" s="20">
        <v>45785</v>
      </c>
      <c r="C72" s="20">
        <v>45785</v>
      </c>
      <c r="D72" s="22">
        <v>461544115</v>
      </c>
      <c r="E72" s="23" t="s">
        <v>13</v>
      </c>
      <c r="F72" s="24">
        <v>50000</v>
      </c>
      <c r="G72" s="24"/>
      <c r="H72" s="28" t="s">
        <v>899</v>
      </c>
      <c r="I72" s="26" t="s">
        <v>897</v>
      </c>
      <c r="J72" s="3"/>
      <c r="K72" s="3"/>
      <c r="L72" s="9"/>
      <c r="M72" s="3"/>
      <c r="N72" s="3"/>
    </row>
    <row r="73" spans="1:14" ht="15.75" x14ac:dyDescent="0.25">
      <c r="A73" s="19">
        <f t="shared" si="1"/>
        <v>72</v>
      </c>
      <c r="B73" s="20">
        <v>45785</v>
      </c>
      <c r="C73" s="20">
        <v>45785</v>
      </c>
      <c r="D73" s="22">
        <v>461546184</v>
      </c>
      <c r="E73" s="23" t="s">
        <v>27</v>
      </c>
      <c r="F73" s="24">
        <v>25320</v>
      </c>
      <c r="G73" s="24"/>
      <c r="H73" s="28" t="s">
        <v>902</v>
      </c>
      <c r="I73" s="26" t="s">
        <v>897</v>
      </c>
      <c r="J73" s="3"/>
      <c r="K73" s="3"/>
      <c r="L73" s="9"/>
      <c r="M73" s="3"/>
      <c r="N73" s="3"/>
    </row>
    <row r="74" spans="1:14" ht="15.75" x14ac:dyDescent="0.25">
      <c r="A74" s="19">
        <f t="shared" si="1"/>
        <v>73</v>
      </c>
      <c r="B74" s="20">
        <v>45785</v>
      </c>
      <c r="C74" s="20">
        <v>45785</v>
      </c>
      <c r="D74" s="22">
        <v>461546484</v>
      </c>
      <c r="E74" s="23" t="s">
        <v>27</v>
      </c>
      <c r="F74" s="24">
        <v>24028</v>
      </c>
      <c r="G74" s="24"/>
      <c r="H74" s="28" t="s">
        <v>902</v>
      </c>
      <c r="I74" s="26" t="s">
        <v>897</v>
      </c>
      <c r="J74" s="3"/>
      <c r="K74" s="3"/>
      <c r="L74" s="9"/>
      <c r="M74" s="3"/>
      <c r="N74" s="3"/>
    </row>
    <row r="75" spans="1:14" ht="15.75" x14ac:dyDescent="0.25">
      <c r="A75" s="19">
        <f t="shared" si="1"/>
        <v>74</v>
      </c>
      <c r="B75" s="20">
        <v>45786</v>
      </c>
      <c r="C75" s="20">
        <v>45786</v>
      </c>
      <c r="D75" s="22" t="s">
        <v>110</v>
      </c>
      <c r="E75" s="23" t="s">
        <v>109</v>
      </c>
      <c r="F75" s="24"/>
      <c r="G75" s="24">
        <v>2700</v>
      </c>
      <c r="H75" s="28" t="s">
        <v>896</v>
      </c>
      <c r="I75" s="26" t="s">
        <v>897</v>
      </c>
      <c r="J75" s="3"/>
      <c r="K75" s="3"/>
      <c r="L75" s="9"/>
      <c r="M75" s="3"/>
      <c r="N75" s="3"/>
    </row>
    <row r="76" spans="1:14" ht="15.75" x14ac:dyDescent="0.25">
      <c r="A76" s="19">
        <f t="shared" si="1"/>
        <v>75</v>
      </c>
      <c r="B76" s="20">
        <v>45787</v>
      </c>
      <c r="C76" s="20">
        <v>45787</v>
      </c>
      <c r="D76" s="22" t="s">
        <v>112</v>
      </c>
      <c r="E76" s="23" t="s">
        <v>111</v>
      </c>
      <c r="F76" s="24"/>
      <c r="G76" s="24">
        <v>3000</v>
      </c>
      <c r="H76" s="28" t="s">
        <v>896</v>
      </c>
      <c r="I76" s="26" t="s">
        <v>897</v>
      </c>
      <c r="J76" s="3"/>
      <c r="K76" s="3"/>
      <c r="L76" s="9"/>
      <c r="M76" s="3"/>
      <c r="N76" s="3"/>
    </row>
    <row r="77" spans="1:14" ht="15.75" x14ac:dyDescent="0.25">
      <c r="A77" s="19">
        <f t="shared" si="1"/>
        <v>76</v>
      </c>
      <c r="B77" s="20">
        <v>45787</v>
      </c>
      <c r="C77" s="20">
        <v>45787</v>
      </c>
      <c r="D77" s="22">
        <v>461895146</v>
      </c>
      <c r="E77" s="23" t="s">
        <v>64</v>
      </c>
      <c r="F77" s="24">
        <v>10000</v>
      </c>
      <c r="G77" s="24"/>
      <c r="H77" s="28" t="s">
        <v>909</v>
      </c>
      <c r="I77" s="26" t="s">
        <v>897</v>
      </c>
      <c r="J77" s="3"/>
      <c r="K77" s="3"/>
      <c r="L77" s="9"/>
      <c r="M77" s="3"/>
      <c r="N77" s="3"/>
    </row>
    <row r="78" spans="1:14" ht="15.75" x14ac:dyDescent="0.25">
      <c r="A78" s="19">
        <f t="shared" si="1"/>
        <v>77</v>
      </c>
      <c r="B78" s="20">
        <v>45788</v>
      </c>
      <c r="C78" s="20">
        <v>45788</v>
      </c>
      <c r="D78" s="22" t="s">
        <v>114</v>
      </c>
      <c r="E78" s="23" t="s">
        <v>113</v>
      </c>
      <c r="F78" s="24"/>
      <c r="G78" s="24">
        <v>12249</v>
      </c>
      <c r="H78" s="28" t="s">
        <v>896</v>
      </c>
      <c r="I78" s="26" t="s">
        <v>897</v>
      </c>
      <c r="J78" s="3"/>
      <c r="K78" s="3"/>
      <c r="L78" s="9"/>
      <c r="M78" s="3"/>
      <c r="N78" s="3"/>
    </row>
    <row r="79" spans="1:14" ht="15.75" x14ac:dyDescent="0.25">
      <c r="A79" s="19">
        <f t="shared" si="1"/>
        <v>78</v>
      </c>
      <c r="B79" s="20">
        <v>45790</v>
      </c>
      <c r="C79" s="20">
        <v>45790</v>
      </c>
      <c r="D79" s="22" t="s">
        <v>116</v>
      </c>
      <c r="E79" s="23" t="s">
        <v>115</v>
      </c>
      <c r="F79" s="24"/>
      <c r="G79" s="24">
        <v>8100</v>
      </c>
      <c r="H79" s="28" t="s">
        <v>896</v>
      </c>
      <c r="I79" s="26" t="s">
        <v>897</v>
      </c>
      <c r="J79" s="3"/>
      <c r="K79" s="3"/>
      <c r="L79" s="9"/>
      <c r="M79" s="3"/>
      <c r="N79" s="3"/>
    </row>
    <row r="80" spans="1:14" ht="15.75" x14ac:dyDescent="0.25">
      <c r="A80" s="19">
        <f t="shared" si="1"/>
        <v>79</v>
      </c>
      <c r="B80" s="20">
        <v>45791</v>
      </c>
      <c r="C80" s="20">
        <v>45791</v>
      </c>
      <c r="D80" s="22" t="s">
        <v>118</v>
      </c>
      <c r="E80" s="23" t="s">
        <v>117</v>
      </c>
      <c r="F80" s="24"/>
      <c r="G80" s="24">
        <v>9900</v>
      </c>
      <c r="H80" s="28" t="s">
        <v>896</v>
      </c>
      <c r="I80" s="26" t="s">
        <v>897</v>
      </c>
      <c r="J80" s="3"/>
      <c r="K80" s="3"/>
      <c r="L80" s="9"/>
      <c r="M80" s="3"/>
      <c r="N80" s="3"/>
    </row>
    <row r="81" spans="1:14" ht="15.75" x14ac:dyDescent="0.25">
      <c r="A81" s="19">
        <f t="shared" si="1"/>
        <v>80</v>
      </c>
      <c r="B81" s="20">
        <v>45791</v>
      </c>
      <c r="C81" s="20">
        <v>45791</v>
      </c>
      <c r="D81" s="22">
        <v>462660721</v>
      </c>
      <c r="E81" s="23" t="s">
        <v>119</v>
      </c>
      <c r="F81" s="24">
        <v>55440</v>
      </c>
      <c r="G81" s="24"/>
      <c r="H81" s="28" t="s">
        <v>903</v>
      </c>
      <c r="I81" s="26" t="s">
        <v>897</v>
      </c>
      <c r="J81" s="3"/>
      <c r="K81" s="3"/>
      <c r="L81" s="9"/>
      <c r="M81" s="3"/>
      <c r="N81" s="3"/>
    </row>
    <row r="82" spans="1:14" ht="15.75" x14ac:dyDescent="0.25">
      <c r="A82" s="19">
        <f t="shared" si="1"/>
        <v>81</v>
      </c>
      <c r="B82" s="20">
        <v>45792</v>
      </c>
      <c r="C82" s="20">
        <v>45792</v>
      </c>
      <c r="D82" s="22" t="s">
        <v>121</v>
      </c>
      <c r="E82" s="23" t="s">
        <v>120</v>
      </c>
      <c r="F82" s="24"/>
      <c r="G82" s="24">
        <v>25449</v>
      </c>
      <c r="H82" s="28" t="s">
        <v>896</v>
      </c>
      <c r="I82" s="26" t="s">
        <v>897</v>
      </c>
      <c r="J82" s="3"/>
      <c r="K82" s="3"/>
      <c r="L82" s="9"/>
      <c r="M82" s="3"/>
      <c r="N82" s="3"/>
    </row>
    <row r="83" spans="1:14" ht="15.75" x14ac:dyDescent="0.25">
      <c r="A83" s="19">
        <f t="shared" si="1"/>
        <v>82</v>
      </c>
      <c r="B83" s="20">
        <v>45792</v>
      </c>
      <c r="C83" s="20">
        <v>45792</v>
      </c>
      <c r="D83" s="22" t="s">
        <v>123</v>
      </c>
      <c r="E83" s="23" t="s">
        <v>122</v>
      </c>
      <c r="F83" s="24"/>
      <c r="G83" s="24">
        <v>33260</v>
      </c>
      <c r="H83" s="28" t="s">
        <v>900</v>
      </c>
      <c r="I83" s="26" t="s">
        <v>897</v>
      </c>
      <c r="J83" s="3"/>
      <c r="K83" s="3"/>
      <c r="L83" s="9"/>
      <c r="M83" s="3"/>
      <c r="N83" s="3"/>
    </row>
    <row r="84" spans="1:14" ht="15.75" x14ac:dyDescent="0.25">
      <c r="A84" s="19">
        <f t="shared" si="1"/>
        <v>83</v>
      </c>
      <c r="B84" s="20">
        <v>45792</v>
      </c>
      <c r="C84" s="20">
        <v>45792</v>
      </c>
      <c r="D84" s="22">
        <v>462810724</v>
      </c>
      <c r="E84" s="23" t="s">
        <v>13</v>
      </c>
      <c r="F84" s="24">
        <v>34480</v>
      </c>
      <c r="G84" s="24"/>
      <c r="H84" s="28" t="s">
        <v>899</v>
      </c>
      <c r="I84" s="26" t="s">
        <v>897</v>
      </c>
      <c r="J84" s="3"/>
      <c r="K84" s="3"/>
      <c r="L84" s="9"/>
      <c r="M84" s="3"/>
      <c r="N84" s="3"/>
    </row>
    <row r="85" spans="1:14" ht="15.75" x14ac:dyDescent="0.25">
      <c r="A85" s="19">
        <f t="shared" si="1"/>
        <v>84</v>
      </c>
      <c r="B85" s="20">
        <v>45793</v>
      </c>
      <c r="C85" s="20">
        <v>45793</v>
      </c>
      <c r="D85" s="22" t="s">
        <v>125</v>
      </c>
      <c r="E85" s="23" t="s">
        <v>124</v>
      </c>
      <c r="F85" s="24"/>
      <c r="G85" s="24">
        <v>5300</v>
      </c>
      <c r="H85" s="28" t="s">
        <v>896</v>
      </c>
      <c r="I85" s="26" t="s">
        <v>897</v>
      </c>
      <c r="J85" s="3"/>
      <c r="K85" s="3"/>
      <c r="L85" s="9"/>
      <c r="M85" s="3"/>
      <c r="N85" s="3"/>
    </row>
    <row r="86" spans="1:14" ht="15.75" x14ac:dyDescent="0.25">
      <c r="A86" s="19">
        <f t="shared" si="1"/>
        <v>85</v>
      </c>
      <c r="B86" s="20">
        <v>45794</v>
      </c>
      <c r="C86" s="20">
        <v>45794</v>
      </c>
      <c r="D86" s="22" t="s">
        <v>127</v>
      </c>
      <c r="E86" s="23" t="s">
        <v>126</v>
      </c>
      <c r="F86" s="24"/>
      <c r="G86" s="24">
        <v>10249</v>
      </c>
      <c r="H86" s="28" t="s">
        <v>896</v>
      </c>
      <c r="I86" s="26" t="s">
        <v>897</v>
      </c>
      <c r="J86" s="3"/>
      <c r="K86" s="3"/>
      <c r="L86" s="9"/>
      <c r="M86" s="3"/>
      <c r="N86" s="3"/>
    </row>
    <row r="87" spans="1:14" ht="15.75" x14ac:dyDescent="0.25">
      <c r="A87" s="19">
        <f t="shared" si="1"/>
        <v>86</v>
      </c>
      <c r="B87" s="20">
        <v>45794</v>
      </c>
      <c r="C87" s="20">
        <v>45794</v>
      </c>
      <c r="D87" s="22" t="s">
        <v>129</v>
      </c>
      <c r="E87" s="23" t="s">
        <v>128</v>
      </c>
      <c r="F87" s="24"/>
      <c r="G87" s="24">
        <v>3400</v>
      </c>
      <c r="H87" s="28" t="s">
        <v>905</v>
      </c>
      <c r="I87" s="26" t="s">
        <v>897</v>
      </c>
      <c r="J87" s="3"/>
      <c r="K87" s="3"/>
      <c r="L87" s="9"/>
      <c r="M87" s="3"/>
      <c r="N87" s="3"/>
    </row>
    <row r="88" spans="1:14" ht="15.75" x14ac:dyDescent="0.25">
      <c r="A88" s="19">
        <f t="shared" si="1"/>
        <v>87</v>
      </c>
      <c r="B88" s="20">
        <v>45795</v>
      </c>
      <c r="C88" s="20">
        <v>45795</v>
      </c>
      <c r="D88" s="22" t="s">
        <v>131</v>
      </c>
      <c r="E88" s="23" t="s">
        <v>130</v>
      </c>
      <c r="F88" s="24"/>
      <c r="G88" s="24">
        <v>14800</v>
      </c>
      <c r="H88" s="28" t="s">
        <v>896</v>
      </c>
      <c r="I88" s="26" t="s">
        <v>897</v>
      </c>
      <c r="J88" s="3"/>
      <c r="K88" s="3"/>
      <c r="L88" s="9"/>
      <c r="M88" s="3"/>
      <c r="N88" s="3"/>
    </row>
    <row r="89" spans="1:14" ht="15.75" x14ac:dyDescent="0.25">
      <c r="A89" s="19">
        <f t="shared" si="1"/>
        <v>88</v>
      </c>
      <c r="B89" s="20">
        <v>45795</v>
      </c>
      <c r="C89" s="20">
        <v>45795</v>
      </c>
      <c r="D89" s="22" t="s">
        <v>133</v>
      </c>
      <c r="E89" s="23" t="s">
        <v>132</v>
      </c>
      <c r="F89" s="24"/>
      <c r="G89" s="24">
        <v>1</v>
      </c>
      <c r="H89" s="29" t="s">
        <v>903</v>
      </c>
      <c r="I89" s="26" t="s">
        <v>897</v>
      </c>
      <c r="J89" s="3"/>
      <c r="K89" s="3"/>
      <c r="L89" s="9"/>
      <c r="M89" s="3"/>
      <c r="N89" s="3"/>
    </row>
    <row r="90" spans="1:14" ht="15.75" x14ac:dyDescent="0.25">
      <c r="A90" s="19">
        <f t="shared" si="1"/>
        <v>89</v>
      </c>
      <c r="B90" s="20">
        <v>45795</v>
      </c>
      <c r="C90" s="20">
        <v>45795</v>
      </c>
      <c r="D90" s="22" t="s">
        <v>135</v>
      </c>
      <c r="E90" s="23" t="s">
        <v>134</v>
      </c>
      <c r="F90" s="24"/>
      <c r="G90" s="24">
        <v>2700</v>
      </c>
      <c r="H90" s="29" t="s">
        <v>903</v>
      </c>
      <c r="I90" s="26" t="s">
        <v>897</v>
      </c>
      <c r="J90" s="3"/>
      <c r="K90" s="3"/>
      <c r="L90" s="9"/>
      <c r="M90" s="3"/>
      <c r="N90" s="3"/>
    </row>
    <row r="91" spans="1:14" ht="15.75" x14ac:dyDescent="0.25">
      <c r="A91" s="19">
        <f t="shared" si="1"/>
        <v>90</v>
      </c>
      <c r="B91" s="20">
        <v>45796</v>
      </c>
      <c r="C91" s="20">
        <v>45796</v>
      </c>
      <c r="D91" s="22">
        <v>463409964</v>
      </c>
      <c r="E91" s="23" t="s">
        <v>136</v>
      </c>
      <c r="F91" s="24">
        <v>7532</v>
      </c>
      <c r="G91" s="24"/>
      <c r="H91" t="s">
        <v>913</v>
      </c>
      <c r="I91" s="26" t="s">
        <v>897</v>
      </c>
      <c r="J91" s="3"/>
      <c r="K91" s="3"/>
      <c r="L91" s="9"/>
      <c r="M91" s="3"/>
      <c r="N91" s="3"/>
    </row>
    <row r="92" spans="1:14" ht="15.75" x14ac:dyDescent="0.25">
      <c r="A92" s="19">
        <f t="shared" si="1"/>
        <v>91</v>
      </c>
      <c r="B92" s="20">
        <v>45796</v>
      </c>
      <c r="C92" s="20">
        <v>45796</v>
      </c>
      <c r="D92" s="22">
        <v>463410287</v>
      </c>
      <c r="E92" s="23" t="s">
        <v>137</v>
      </c>
      <c r="F92" s="24">
        <v>6240</v>
      </c>
      <c r="G92" s="24"/>
      <c r="H92" t="s">
        <v>914</v>
      </c>
      <c r="I92" s="26" t="s">
        <v>897</v>
      </c>
      <c r="J92" s="3"/>
      <c r="K92" s="3"/>
      <c r="L92" s="9"/>
      <c r="M92" s="3"/>
      <c r="N92" s="3"/>
    </row>
    <row r="93" spans="1:14" ht="15.75" x14ac:dyDescent="0.25">
      <c r="A93" s="19">
        <f t="shared" si="1"/>
        <v>92</v>
      </c>
      <c r="B93" s="20">
        <v>45796</v>
      </c>
      <c r="C93" s="20">
        <v>45796</v>
      </c>
      <c r="D93" s="22" t="s">
        <v>139</v>
      </c>
      <c r="E93" s="23" t="s">
        <v>138</v>
      </c>
      <c r="F93" s="24">
        <v>28000</v>
      </c>
      <c r="G93" s="24"/>
      <c r="H93" s="28" t="s">
        <v>909</v>
      </c>
      <c r="I93" s="26" t="s">
        <v>897</v>
      </c>
      <c r="J93" s="3"/>
      <c r="K93" s="3"/>
      <c r="L93" s="9"/>
      <c r="M93" s="3"/>
      <c r="N93" s="3"/>
    </row>
    <row r="94" spans="1:14" ht="15.75" x14ac:dyDescent="0.25">
      <c r="A94" s="19">
        <f t="shared" si="1"/>
        <v>93</v>
      </c>
      <c r="B94" s="20">
        <v>45797</v>
      </c>
      <c r="C94" s="20">
        <v>45797</v>
      </c>
      <c r="D94" s="22" t="s">
        <v>141</v>
      </c>
      <c r="E94" s="23" t="s">
        <v>140</v>
      </c>
      <c r="F94" s="24"/>
      <c r="G94" s="24">
        <v>6000</v>
      </c>
      <c r="H94" s="28" t="s">
        <v>896</v>
      </c>
      <c r="I94" s="26" t="s">
        <v>897</v>
      </c>
      <c r="J94" s="3"/>
      <c r="K94" s="3"/>
      <c r="L94" s="9"/>
      <c r="M94" s="3"/>
      <c r="N94" s="3"/>
    </row>
    <row r="95" spans="1:14" ht="15.75" x14ac:dyDescent="0.25">
      <c r="A95" s="19">
        <f t="shared" si="1"/>
        <v>94</v>
      </c>
      <c r="B95" s="20">
        <v>45798</v>
      </c>
      <c r="C95" s="20">
        <v>45798</v>
      </c>
      <c r="D95" s="22" t="s">
        <v>143</v>
      </c>
      <c r="E95" s="23" t="s">
        <v>142</v>
      </c>
      <c r="F95" s="24"/>
      <c r="G95" s="24">
        <v>13328.5</v>
      </c>
      <c r="H95" s="28" t="s">
        <v>896</v>
      </c>
      <c r="I95" s="26" t="s">
        <v>897</v>
      </c>
      <c r="J95" s="3"/>
      <c r="K95" s="3"/>
      <c r="L95" s="9"/>
      <c r="M95" s="3"/>
      <c r="N95" s="3"/>
    </row>
    <row r="96" spans="1:14" ht="15.75" x14ac:dyDescent="0.25">
      <c r="A96" s="19">
        <f t="shared" si="1"/>
        <v>95</v>
      </c>
      <c r="B96" s="20">
        <v>45798</v>
      </c>
      <c r="C96" s="20">
        <v>45798</v>
      </c>
      <c r="D96" s="22" t="s">
        <v>145</v>
      </c>
      <c r="E96" s="23" t="s">
        <v>144</v>
      </c>
      <c r="F96" s="24">
        <v>26503</v>
      </c>
      <c r="G96" s="24"/>
      <c r="H96" s="28" t="s">
        <v>915</v>
      </c>
      <c r="I96" s="26" t="s">
        <v>897</v>
      </c>
      <c r="J96" s="3"/>
      <c r="K96" s="3"/>
      <c r="L96" s="9"/>
      <c r="M96" s="3"/>
      <c r="N96" s="3"/>
    </row>
    <row r="97" spans="1:14" ht="15.75" x14ac:dyDescent="0.25">
      <c r="A97" s="19">
        <f t="shared" si="1"/>
        <v>96</v>
      </c>
      <c r="B97" s="20">
        <v>45799</v>
      </c>
      <c r="C97" s="20">
        <v>45799</v>
      </c>
      <c r="D97" s="22">
        <v>514207708034</v>
      </c>
      <c r="E97" s="23" t="s">
        <v>23</v>
      </c>
      <c r="F97" s="24"/>
      <c r="G97" s="24">
        <v>21700</v>
      </c>
      <c r="H97" s="28" t="s">
        <v>900</v>
      </c>
      <c r="I97" s="26" t="s">
        <v>897</v>
      </c>
      <c r="J97" s="3"/>
      <c r="K97" s="3"/>
      <c r="L97" s="9"/>
      <c r="M97" s="3"/>
      <c r="N97" s="3"/>
    </row>
    <row r="98" spans="1:14" ht="15.75" x14ac:dyDescent="0.25">
      <c r="A98" s="19">
        <f t="shared" si="1"/>
        <v>97</v>
      </c>
      <c r="B98" s="20">
        <v>45800</v>
      </c>
      <c r="C98" s="20">
        <v>45800</v>
      </c>
      <c r="D98" s="22" t="s">
        <v>147</v>
      </c>
      <c r="E98" s="23" t="s">
        <v>146</v>
      </c>
      <c r="F98" s="24"/>
      <c r="G98" s="24">
        <v>4900</v>
      </c>
      <c r="H98" s="28" t="s">
        <v>896</v>
      </c>
      <c r="I98" s="26" t="s">
        <v>897</v>
      </c>
      <c r="J98" s="3"/>
      <c r="K98" s="3"/>
      <c r="L98" s="9"/>
      <c r="M98" s="3"/>
      <c r="N98" s="3"/>
    </row>
    <row r="99" spans="1:14" ht="15.75" x14ac:dyDescent="0.25">
      <c r="A99" s="19">
        <f t="shared" si="1"/>
        <v>98</v>
      </c>
      <c r="B99" s="20">
        <v>45800</v>
      </c>
      <c r="C99" s="20">
        <v>45800</v>
      </c>
      <c r="D99" s="22" t="s">
        <v>149</v>
      </c>
      <c r="E99" s="23" t="s">
        <v>148</v>
      </c>
      <c r="F99" s="24"/>
      <c r="G99" s="24">
        <v>90000</v>
      </c>
      <c r="H99" s="29" t="s">
        <v>903</v>
      </c>
      <c r="I99" s="26" t="s">
        <v>897</v>
      </c>
      <c r="J99" s="3"/>
      <c r="K99" s="3"/>
      <c r="L99" s="9"/>
      <c r="M99" s="3"/>
      <c r="N99" s="3"/>
    </row>
    <row r="100" spans="1:14" ht="15.75" x14ac:dyDescent="0.25">
      <c r="A100" s="19">
        <f t="shared" si="1"/>
        <v>99</v>
      </c>
      <c r="B100" s="20">
        <v>45800</v>
      </c>
      <c r="C100" s="20">
        <v>45800</v>
      </c>
      <c r="D100" s="22">
        <v>464129686</v>
      </c>
      <c r="E100" s="23" t="s">
        <v>64</v>
      </c>
      <c r="F100" s="24">
        <v>60000</v>
      </c>
      <c r="G100" s="24"/>
      <c r="H100" s="28" t="s">
        <v>909</v>
      </c>
      <c r="I100" s="26" t="s">
        <v>897</v>
      </c>
      <c r="J100" s="3"/>
      <c r="K100" s="3"/>
      <c r="L100" s="9"/>
      <c r="M100" s="3"/>
      <c r="N100" s="3"/>
    </row>
    <row r="101" spans="1:14" ht="15.75" x14ac:dyDescent="0.25">
      <c r="A101" s="19">
        <f t="shared" si="1"/>
        <v>100</v>
      </c>
      <c r="B101" s="20">
        <v>45800</v>
      </c>
      <c r="C101" s="20">
        <v>45800</v>
      </c>
      <c r="D101" s="22">
        <v>464134261</v>
      </c>
      <c r="E101" s="23" t="s">
        <v>150</v>
      </c>
      <c r="F101" s="24">
        <v>10000</v>
      </c>
      <c r="G101" s="24"/>
      <c r="H101" s="28" t="s">
        <v>909</v>
      </c>
      <c r="I101" s="26" t="s">
        <v>897</v>
      </c>
      <c r="J101" s="3"/>
      <c r="K101" s="3"/>
      <c r="L101" s="9"/>
      <c r="M101" s="3"/>
      <c r="N101" s="3"/>
    </row>
    <row r="102" spans="1:14" ht="15.75" x14ac:dyDescent="0.25">
      <c r="A102" s="19">
        <f t="shared" si="1"/>
        <v>101</v>
      </c>
      <c r="B102" s="20">
        <v>45800</v>
      </c>
      <c r="C102" s="20">
        <v>45800</v>
      </c>
      <c r="D102" s="22" t="s">
        <v>152</v>
      </c>
      <c r="E102" s="23" t="s">
        <v>151</v>
      </c>
      <c r="F102" s="24"/>
      <c r="G102" s="24">
        <v>2700</v>
      </c>
      <c r="H102" s="29" t="s">
        <v>903</v>
      </c>
      <c r="I102" s="26" t="s">
        <v>897</v>
      </c>
      <c r="J102" s="3"/>
      <c r="K102" s="3"/>
      <c r="L102" s="9"/>
      <c r="M102" s="3"/>
      <c r="N102" s="3"/>
    </row>
    <row r="103" spans="1:14" ht="15.75" x14ac:dyDescent="0.25">
      <c r="A103" s="19">
        <f t="shared" si="1"/>
        <v>102</v>
      </c>
      <c r="B103" s="20">
        <v>45801</v>
      </c>
      <c r="C103" s="20">
        <v>45801</v>
      </c>
      <c r="D103" s="22" t="s">
        <v>154</v>
      </c>
      <c r="E103" s="23" t="s">
        <v>153</v>
      </c>
      <c r="F103" s="24"/>
      <c r="G103" s="24">
        <v>8600</v>
      </c>
      <c r="H103" s="28" t="s">
        <v>896</v>
      </c>
      <c r="I103" s="26" t="s">
        <v>897</v>
      </c>
      <c r="J103" s="3"/>
      <c r="K103" s="3"/>
      <c r="L103" s="9"/>
      <c r="M103" s="3"/>
      <c r="N103" s="3"/>
    </row>
    <row r="104" spans="1:14" ht="15.75" x14ac:dyDescent="0.25">
      <c r="A104" s="19">
        <f t="shared" si="1"/>
        <v>103</v>
      </c>
      <c r="B104" s="20">
        <v>45801</v>
      </c>
      <c r="C104" s="20">
        <v>45801</v>
      </c>
      <c r="D104" s="22">
        <v>464224649</v>
      </c>
      <c r="E104" s="23" t="s">
        <v>155</v>
      </c>
      <c r="F104" s="24">
        <v>55440</v>
      </c>
      <c r="G104" s="24"/>
      <c r="H104" s="28" t="s">
        <v>903</v>
      </c>
      <c r="I104" s="26" t="s">
        <v>897</v>
      </c>
      <c r="J104" s="3"/>
      <c r="K104" s="3"/>
      <c r="L104" s="9"/>
      <c r="M104" s="3"/>
      <c r="N104" s="3"/>
    </row>
    <row r="105" spans="1:14" ht="15.75" x14ac:dyDescent="0.25">
      <c r="A105" s="19">
        <f t="shared" si="1"/>
        <v>104</v>
      </c>
      <c r="B105" s="20">
        <v>45802</v>
      </c>
      <c r="C105" s="20">
        <v>45802</v>
      </c>
      <c r="D105" s="22" t="s">
        <v>157</v>
      </c>
      <c r="E105" s="23" t="s">
        <v>156</v>
      </c>
      <c r="F105" s="24"/>
      <c r="G105" s="24">
        <v>1</v>
      </c>
      <c r="H105" s="29" t="s">
        <v>903</v>
      </c>
      <c r="I105" s="26" t="s">
        <v>897</v>
      </c>
      <c r="J105" s="3"/>
      <c r="K105" s="3"/>
      <c r="L105" s="9"/>
      <c r="M105" s="3"/>
      <c r="N105" s="3"/>
    </row>
    <row r="106" spans="1:14" ht="15.75" x14ac:dyDescent="0.25">
      <c r="A106" s="19">
        <f t="shared" si="1"/>
        <v>105</v>
      </c>
      <c r="B106" s="20">
        <v>45803</v>
      </c>
      <c r="C106" s="20">
        <v>45803</v>
      </c>
      <c r="D106" s="22">
        <v>464419166</v>
      </c>
      <c r="E106" s="23" t="s">
        <v>158</v>
      </c>
      <c r="F106" s="24">
        <v>9120</v>
      </c>
      <c r="G106" s="24"/>
      <c r="H106" s="28" t="s">
        <v>910</v>
      </c>
      <c r="I106" s="26" t="s">
        <v>897</v>
      </c>
      <c r="J106" s="3"/>
      <c r="K106" s="3"/>
      <c r="L106" s="9"/>
      <c r="M106" s="3"/>
      <c r="N106" s="3"/>
    </row>
    <row r="107" spans="1:14" ht="15.75" x14ac:dyDescent="0.25">
      <c r="A107" s="19">
        <f t="shared" si="1"/>
        <v>106</v>
      </c>
      <c r="B107" s="20">
        <v>45805</v>
      </c>
      <c r="C107" s="20">
        <v>45805</v>
      </c>
      <c r="D107" s="22" t="s">
        <v>160</v>
      </c>
      <c r="E107" s="23" t="s">
        <v>159</v>
      </c>
      <c r="F107" s="24"/>
      <c r="G107" s="24">
        <v>13698</v>
      </c>
      <c r="H107" s="28" t="s">
        <v>896</v>
      </c>
      <c r="I107" s="26" t="s">
        <v>897</v>
      </c>
      <c r="J107" s="3"/>
      <c r="K107" s="3"/>
      <c r="L107" s="9"/>
      <c r="M107" s="3"/>
      <c r="N107" s="3"/>
    </row>
    <row r="108" spans="1:14" ht="15.75" x14ac:dyDescent="0.25">
      <c r="A108" s="19">
        <f t="shared" si="1"/>
        <v>107</v>
      </c>
      <c r="B108" s="20">
        <v>45805</v>
      </c>
      <c r="C108" s="20">
        <v>45805</v>
      </c>
      <c r="D108" s="22" t="s">
        <v>162</v>
      </c>
      <c r="E108" s="23" t="s">
        <v>161</v>
      </c>
      <c r="F108" s="24"/>
      <c r="G108" s="24">
        <v>10498</v>
      </c>
      <c r="H108" s="28" t="s">
        <v>906</v>
      </c>
      <c r="I108" s="26" t="s">
        <v>897</v>
      </c>
      <c r="J108" s="3"/>
      <c r="K108" s="3"/>
      <c r="L108" s="9"/>
      <c r="M108" s="3"/>
      <c r="N108" s="3"/>
    </row>
    <row r="109" spans="1:14" ht="15.75" x14ac:dyDescent="0.25">
      <c r="A109" s="19">
        <f t="shared" si="1"/>
        <v>108</v>
      </c>
      <c r="B109" s="20">
        <v>45805</v>
      </c>
      <c r="C109" s="20">
        <v>45805</v>
      </c>
      <c r="D109" s="22" t="s">
        <v>164</v>
      </c>
      <c r="E109" s="23" t="s">
        <v>163</v>
      </c>
      <c r="F109" s="24">
        <v>15000</v>
      </c>
      <c r="G109" s="24"/>
      <c r="H109" s="28" t="s">
        <v>907</v>
      </c>
      <c r="I109" s="26" t="s">
        <v>897</v>
      </c>
      <c r="J109" s="3"/>
      <c r="K109" s="3"/>
      <c r="L109" s="9"/>
      <c r="M109" s="3"/>
      <c r="N109" s="3"/>
    </row>
    <row r="110" spans="1:14" ht="15.75" x14ac:dyDescent="0.25">
      <c r="A110" s="19">
        <f t="shared" si="1"/>
        <v>109</v>
      </c>
      <c r="B110" s="20">
        <v>45806</v>
      </c>
      <c r="C110" s="20">
        <v>45806</v>
      </c>
      <c r="D110" s="22" t="s">
        <v>166</v>
      </c>
      <c r="E110" s="23" t="s">
        <v>165</v>
      </c>
      <c r="F110" s="24"/>
      <c r="G110" s="24">
        <v>6100</v>
      </c>
      <c r="H110" s="28" t="s">
        <v>896</v>
      </c>
      <c r="I110" s="26" t="s">
        <v>897</v>
      </c>
      <c r="J110" s="3"/>
      <c r="K110" s="3"/>
      <c r="L110" s="9"/>
      <c r="M110" s="3"/>
      <c r="N110" s="3"/>
    </row>
    <row r="111" spans="1:14" ht="15.75" x14ac:dyDescent="0.25">
      <c r="A111" s="19">
        <f t="shared" si="1"/>
        <v>110</v>
      </c>
      <c r="B111" s="20">
        <v>45806</v>
      </c>
      <c r="C111" s="20">
        <v>45806</v>
      </c>
      <c r="D111" s="22" t="s">
        <v>168</v>
      </c>
      <c r="E111" s="23" t="s">
        <v>167</v>
      </c>
      <c r="F111" s="24"/>
      <c r="G111" s="24">
        <v>1</v>
      </c>
      <c r="H111" s="28" t="s">
        <v>905</v>
      </c>
      <c r="I111" s="26" t="s">
        <v>897</v>
      </c>
      <c r="J111" s="3"/>
      <c r="K111" s="3"/>
      <c r="L111" s="9"/>
      <c r="M111" s="3"/>
      <c r="N111" s="3"/>
    </row>
    <row r="112" spans="1:14" ht="15.75" x14ac:dyDescent="0.25">
      <c r="A112" s="19">
        <f t="shared" si="1"/>
        <v>111</v>
      </c>
      <c r="B112" s="20">
        <v>45806</v>
      </c>
      <c r="C112" s="20">
        <v>45806</v>
      </c>
      <c r="D112" s="22" t="s">
        <v>170</v>
      </c>
      <c r="E112" s="23" t="s">
        <v>169</v>
      </c>
      <c r="F112" s="24"/>
      <c r="G112" s="24">
        <v>5600</v>
      </c>
      <c r="H112" s="28" t="s">
        <v>905</v>
      </c>
      <c r="I112" s="26" t="s">
        <v>897</v>
      </c>
      <c r="J112" s="3"/>
      <c r="K112" s="3"/>
      <c r="L112" s="9"/>
      <c r="M112" s="3"/>
      <c r="N112" s="3"/>
    </row>
    <row r="113" spans="1:14" ht="15.75" x14ac:dyDescent="0.25">
      <c r="A113" s="19">
        <f t="shared" si="1"/>
        <v>112</v>
      </c>
      <c r="B113" s="20">
        <v>45807</v>
      </c>
      <c r="C113" s="20">
        <v>45807</v>
      </c>
      <c r="D113" s="22" t="s">
        <v>172</v>
      </c>
      <c r="E113" s="23" t="s">
        <v>171</v>
      </c>
      <c r="F113" s="24"/>
      <c r="G113" s="24">
        <v>5900</v>
      </c>
      <c r="H113" s="28" t="s">
        <v>896</v>
      </c>
      <c r="I113" s="26" t="s">
        <v>897</v>
      </c>
      <c r="J113" s="3"/>
      <c r="K113" s="3"/>
      <c r="L113" s="9"/>
      <c r="M113" s="3"/>
      <c r="N113" s="3"/>
    </row>
    <row r="114" spans="1:14" ht="15.75" x14ac:dyDescent="0.25">
      <c r="A114" s="19">
        <f t="shared" si="1"/>
        <v>113</v>
      </c>
      <c r="B114" s="20">
        <v>45808</v>
      </c>
      <c r="C114" s="20">
        <v>45808</v>
      </c>
      <c r="D114" s="22" t="s">
        <v>174</v>
      </c>
      <c r="E114" s="23" t="s">
        <v>173</v>
      </c>
      <c r="F114" s="24"/>
      <c r="G114" s="24">
        <v>3500</v>
      </c>
      <c r="H114" s="28" t="s">
        <v>896</v>
      </c>
      <c r="I114" s="26" t="s">
        <v>897</v>
      </c>
      <c r="J114" s="3"/>
      <c r="K114" s="3"/>
      <c r="L114" s="9"/>
      <c r="M114" s="3"/>
      <c r="N114" s="3"/>
    </row>
    <row r="115" spans="1:14" ht="15.75" x14ac:dyDescent="0.25">
      <c r="A115" s="19">
        <f t="shared" si="1"/>
        <v>114</v>
      </c>
      <c r="B115" s="20">
        <v>45808</v>
      </c>
      <c r="C115" s="20">
        <v>45808</v>
      </c>
      <c r="D115" s="22" t="s">
        <v>176</v>
      </c>
      <c r="E115" s="23" t="s">
        <v>175</v>
      </c>
      <c r="F115" s="24">
        <v>5.9</v>
      </c>
      <c r="G115" s="24"/>
      <c r="H115" s="28" t="s">
        <v>916</v>
      </c>
      <c r="I115" s="26" t="s">
        <v>897</v>
      </c>
      <c r="J115" s="3"/>
      <c r="K115" s="3"/>
      <c r="L115" s="9"/>
      <c r="M115" s="3"/>
      <c r="N115" s="3"/>
    </row>
    <row r="116" spans="1:14" ht="15.75" x14ac:dyDescent="0.25">
      <c r="A116" s="19">
        <f t="shared" si="1"/>
        <v>115</v>
      </c>
      <c r="B116" s="20">
        <v>45808</v>
      </c>
      <c r="C116" s="20">
        <v>45808</v>
      </c>
      <c r="D116" s="22">
        <v>515111709706</v>
      </c>
      <c r="E116" s="23" t="s">
        <v>23</v>
      </c>
      <c r="F116" s="24"/>
      <c r="G116" s="24">
        <v>45800</v>
      </c>
      <c r="H116" s="28" t="s">
        <v>900</v>
      </c>
      <c r="I116" s="26" t="s">
        <v>897</v>
      </c>
      <c r="J116" s="3"/>
      <c r="K116" s="3"/>
      <c r="L116" s="9"/>
      <c r="M116" s="3"/>
      <c r="N116" s="3"/>
    </row>
    <row r="117" spans="1:14" ht="15.75" x14ac:dyDescent="0.25">
      <c r="A117" s="19">
        <f t="shared" si="1"/>
        <v>116</v>
      </c>
      <c r="B117" s="20">
        <v>45808</v>
      </c>
      <c r="C117" s="20">
        <v>45808</v>
      </c>
      <c r="D117" s="22">
        <v>515111709708</v>
      </c>
      <c r="E117" s="23" t="s">
        <v>23</v>
      </c>
      <c r="F117" s="24"/>
      <c r="G117" s="24">
        <v>1000</v>
      </c>
      <c r="H117" s="28" t="s">
        <v>900</v>
      </c>
      <c r="I117" s="26" t="s">
        <v>897</v>
      </c>
      <c r="J117" s="3"/>
      <c r="K117" s="3"/>
      <c r="L117" s="9"/>
      <c r="M117" s="3"/>
      <c r="N117" s="3"/>
    </row>
    <row r="118" spans="1:14" ht="15.75" x14ac:dyDescent="0.25">
      <c r="A118" s="19">
        <f t="shared" si="1"/>
        <v>117</v>
      </c>
      <c r="B118" s="20">
        <v>45808</v>
      </c>
      <c r="C118" s="20">
        <v>45808</v>
      </c>
      <c r="D118" s="22">
        <v>465391683</v>
      </c>
      <c r="E118" s="23" t="s">
        <v>13</v>
      </c>
      <c r="F118" s="24">
        <v>60000</v>
      </c>
      <c r="G118" s="24"/>
      <c r="H118" s="28" t="s">
        <v>899</v>
      </c>
      <c r="I118" s="26" t="s">
        <v>897</v>
      </c>
      <c r="J118" s="3"/>
      <c r="K118" s="3"/>
      <c r="L118" s="9"/>
      <c r="M118" s="3"/>
      <c r="N118" s="3"/>
    </row>
    <row r="119" spans="1:14" ht="15.75" x14ac:dyDescent="0.25">
      <c r="A119" s="19">
        <f t="shared" si="1"/>
        <v>118</v>
      </c>
      <c r="B119" s="20">
        <v>45809</v>
      </c>
      <c r="C119" s="20">
        <v>45809</v>
      </c>
      <c r="D119" s="22" t="s">
        <v>178</v>
      </c>
      <c r="E119" s="23" t="s">
        <v>177</v>
      </c>
      <c r="F119" s="24"/>
      <c r="G119" s="24">
        <v>2000</v>
      </c>
      <c r="H119" s="28" t="s">
        <v>896</v>
      </c>
      <c r="I119" s="26" t="s">
        <v>897</v>
      </c>
      <c r="J119" s="3"/>
      <c r="K119" s="3"/>
      <c r="L119" s="9"/>
      <c r="M119" s="3"/>
      <c r="N119" s="3"/>
    </row>
    <row r="120" spans="1:14" ht="15.75" x14ac:dyDescent="0.25">
      <c r="A120" s="19">
        <f t="shared" si="1"/>
        <v>119</v>
      </c>
      <c r="B120" s="20">
        <v>45811</v>
      </c>
      <c r="C120" s="20">
        <v>45811</v>
      </c>
      <c r="D120" s="22" t="s">
        <v>180</v>
      </c>
      <c r="E120" s="23" t="s">
        <v>179</v>
      </c>
      <c r="F120" s="24"/>
      <c r="G120" s="24">
        <v>19050</v>
      </c>
      <c r="H120" s="28" t="s">
        <v>896</v>
      </c>
      <c r="I120" s="26" t="s">
        <v>897</v>
      </c>
      <c r="J120" s="3"/>
      <c r="K120" s="3"/>
      <c r="L120" s="9"/>
      <c r="M120" s="3"/>
      <c r="N120" s="3"/>
    </row>
    <row r="121" spans="1:14" ht="15.75" x14ac:dyDescent="0.25">
      <c r="A121" s="19">
        <f t="shared" si="1"/>
        <v>120</v>
      </c>
      <c r="B121" s="20">
        <v>45811</v>
      </c>
      <c r="C121" s="20">
        <v>45811</v>
      </c>
      <c r="D121" s="22">
        <v>465860820</v>
      </c>
      <c r="E121" s="23" t="s">
        <v>181</v>
      </c>
      <c r="F121" s="24">
        <v>55440</v>
      </c>
      <c r="G121" s="24"/>
      <c r="H121" s="23" t="s">
        <v>917</v>
      </c>
      <c r="I121" s="26" t="s">
        <v>897</v>
      </c>
      <c r="J121" s="3"/>
      <c r="K121" s="3"/>
      <c r="L121" s="9"/>
      <c r="M121" s="3"/>
      <c r="N121" s="3"/>
    </row>
    <row r="122" spans="1:14" ht="15.75" x14ac:dyDescent="0.25">
      <c r="A122" s="19">
        <f t="shared" si="1"/>
        <v>121</v>
      </c>
      <c r="B122" s="20">
        <v>45812</v>
      </c>
      <c r="C122" s="20">
        <v>45812</v>
      </c>
      <c r="D122" s="22" t="s">
        <v>183</v>
      </c>
      <c r="E122" s="23" t="s">
        <v>182</v>
      </c>
      <c r="F122" s="24"/>
      <c r="G122" s="24">
        <v>10400</v>
      </c>
      <c r="H122" s="28" t="s">
        <v>896</v>
      </c>
      <c r="I122" s="26" t="s">
        <v>897</v>
      </c>
      <c r="J122" s="3"/>
      <c r="K122" s="3"/>
      <c r="L122" s="9"/>
      <c r="M122" s="3"/>
      <c r="N122" s="3"/>
    </row>
    <row r="123" spans="1:14" ht="15.75" x14ac:dyDescent="0.25">
      <c r="A123" s="19">
        <f t="shared" si="1"/>
        <v>122</v>
      </c>
      <c r="B123" s="20">
        <v>45813</v>
      </c>
      <c r="C123" s="20">
        <v>45813</v>
      </c>
      <c r="D123" s="22" t="s">
        <v>185</v>
      </c>
      <c r="E123" s="23" t="s">
        <v>184</v>
      </c>
      <c r="F123" s="24"/>
      <c r="G123" s="24">
        <v>6000</v>
      </c>
      <c r="H123" s="28" t="s">
        <v>896</v>
      </c>
      <c r="I123" s="26" t="s">
        <v>897</v>
      </c>
      <c r="J123" s="3"/>
      <c r="K123" s="3"/>
      <c r="L123" s="9"/>
      <c r="M123" s="3"/>
      <c r="N123" s="3"/>
    </row>
    <row r="124" spans="1:14" ht="15.75" x14ac:dyDescent="0.25">
      <c r="A124" s="19">
        <f t="shared" si="1"/>
        <v>123</v>
      </c>
      <c r="B124" s="20">
        <v>45814</v>
      </c>
      <c r="C124" s="20">
        <v>45814</v>
      </c>
      <c r="D124" s="22" t="s">
        <v>187</v>
      </c>
      <c r="E124" s="23" t="s">
        <v>186</v>
      </c>
      <c r="F124" s="24"/>
      <c r="G124" s="24">
        <v>4000</v>
      </c>
      <c r="H124" s="28" t="s">
        <v>896</v>
      </c>
      <c r="I124" s="26" t="s">
        <v>897</v>
      </c>
      <c r="J124" s="3"/>
      <c r="K124" s="3"/>
      <c r="L124" s="9"/>
      <c r="M124" s="3"/>
      <c r="N124" s="3"/>
    </row>
    <row r="125" spans="1:14" ht="15.75" x14ac:dyDescent="0.25">
      <c r="A125" s="19">
        <f t="shared" si="1"/>
        <v>124</v>
      </c>
      <c r="B125" s="20">
        <v>45815</v>
      </c>
      <c r="C125" s="20">
        <v>45815</v>
      </c>
      <c r="D125" s="22" t="s">
        <v>189</v>
      </c>
      <c r="E125" s="23" t="s">
        <v>188</v>
      </c>
      <c r="F125" s="24"/>
      <c r="G125" s="24">
        <v>6900</v>
      </c>
      <c r="H125" s="28" t="s">
        <v>896</v>
      </c>
      <c r="I125" s="26" t="s">
        <v>897</v>
      </c>
      <c r="J125" s="3"/>
      <c r="K125" s="3"/>
      <c r="L125" s="9"/>
      <c r="M125" s="3"/>
      <c r="N125" s="3"/>
    </row>
    <row r="126" spans="1:14" ht="15.75" x14ac:dyDescent="0.25">
      <c r="A126" s="19">
        <f t="shared" si="1"/>
        <v>125</v>
      </c>
      <c r="B126" s="20">
        <v>45816</v>
      </c>
      <c r="C126" s="20">
        <v>45816</v>
      </c>
      <c r="D126" s="22" t="s">
        <v>191</v>
      </c>
      <c r="E126" s="23" t="s">
        <v>190</v>
      </c>
      <c r="F126" s="24"/>
      <c r="G126" s="24">
        <v>2400</v>
      </c>
      <c r="H126" s="28" t="s">
        <v>896</v>
      </c>
      <c r="I126" s="26" t="s">
        <v>897</v>
      </c>
      <c r="J126" s="3"/>
      <c r="K126" s="3"/>
      <c r="L126" s="9"/>
      <c r="M126" s="3"/>
      <c r="N126" s="3"/>
    </row>
    <row r="127" spans="1:14" ht="15.75" x14ac:dyDescent="0.25">
      <c r="A127" s="19">
        <f t="shared" si="1"/>
        <v>126</v>
      </c>
      <c r="B127" s="20">
        <v>45817</v>
      </c>
      <c r="C127" s="20">
        <v>45817</v>
      </c>
      <c r="D127" s="22" t="s">
        <v>193</v>
      </c>
      <c r="E127" s="23" t="s">
        <v>192</v>
      </c>
      <c r="F127" s="24"/>
      <c r="G127" s="24">
        <v>40000</v>
      </c>
      <c r="H127" s="28" t="s">
        <v>909</v>
      </c>
      <c r="I127" s="26" t="s">
        <v>897</v>
      </c>
      <c r="J127" s="3"/>
      <c r="K127" s="3"/>
      <c r="L127" s="9"/>
      <c r="M127" s="3"/>
      <c r="N127" s="3"/>
    </row>
    <row r="128" spans="1:14" ht="15.75" x14ac:dyDescent="0.25">
      <c r="A128" s="19">
        <f t="shared" si="1"/>
        <v>127</v>
      </c>
      <c r="B128" s="20">
        <v>45817</v>
      </c>
      <c r="C128" s="20">
        <v>45817</v>
      </c>
      <c r="D128" s="22">
        <v>467007693</v>
      </c>
      <c r="E128" s="23" t="s">
        <v>194</v>
      </c>
      <c r="F128" s="24">
        <v>25320</v>
      </c>
      <c r="G128" s="24"/>
      <c r="H128" s="28" t="s">
        <v>902</v>
      </c>
      <c r="I128" s="26" t="s">
        <v>897</v>
      </c>
      <c r="J128" s="3"/>
      <c r="K128" s="3"/>
      <c r="L128" s="9"/>
      <c r="M128" s="3"/>
      <c r="N128" s="3"/>
    </row>
    <row r="129" spans="1:14" ht="15.75" x14ac:dyDescent="0.25">
      <c r="A129" s="19">
        <f t="shared" si="1"/>
        <v>128</v>
      </c>
      <c r="B129" s="20">
        <v>45817</v>
      </c>
      <c r="C129" s="20">
        <v>45817</v>
      </c>
      <c r="D129" s="22">
        <v>467008412</v>
      </c>
      <c r="E129" s="23" t="s">
        <v>136</v>
      </c>
      <c r="F129" s="24">
        <v>25320</v>
      </c>
      <c r="G129" s="24"/>
      <c r="H129" t="s">
        <v>913</v>
      </c>
      <c r="I129" s="26" t="s">
        <v>897</v>
      </c>
      <c r="J129" s="3"/>
      <c r="K129" s="3"/>
      <c r="L129" s="9"/>
      <c r="M129" s="3"/>
      <c r="N129" s="3"/>
    </row>
    <row r="130" spans="1:14" ht="15.75" x14ac:dyDescent="0.25">
      <c r="A130" s="19">
        <f t="shared" si="1"/>
        <v>129</v>
      </c>
      <c r="B130" s="20">
        <v>45817</v>
      </c>
      <c r="C130" s="20">
        <v>45817</v>
      </c>
      <c r="D130" s="22" t="s">
        <v>196</v>
      </c>
      <c r="E130" s="23" t="s">
        <v>195</v>
      </c>
      <c r="F130" s="24"/>
      <c r="G130" s="24">
        <v>30000</v>
      </c>
      <c r="H130" s="28" t="s">
        <v>909</v>
      </c>
      <c r="I130" s="26" t="s">
        <v>897</v>
      </c>
      <c r="J130" s="3"/>
      <c r="K130" s="3"/>
      <c r="L130" s="9"/>
      <c r="M130" s="3"/>
      <c r="N130" s="3"/>
    </row>
    <row r="131" spans="1:14" ht="15.75" x14ac:dyDescent="0.25">
      <c r="A131" s="19">
        <f t="shared" si="1"/>
        <v>130</v>
      </c>
      <c r="B131" s="20">
        <v>45817</v>
      </c>
      <c r="C131" s="20">
        <v>45817</v>
      </c>
      <c r="D131" s="22">
        <v>467018192</v>
      </c>
      <c r="E131" s="23" t="s">
        <v>13</v>
      </c>
      <c r="F131" s="24">
        <v>50000</v>
      </c>
      <c r="G131" s="24"/>
      <c r="H131" s="28" t="s">
        <v>899</v>
      </c>
      <c r="I131" s="26" t="s">
        <v>897</v>
      </c>
      <c r="J131" s="3"/>
      <c r="K131" s="3"/>
      <c r="L131" s="9"/>
      <c r="M131" s="3"/>
      <c r="N131" s="3"/>
    </row>
    <row r="132" spans="1:14" ht="15.75" x14ac:dyDescent="0.25">
      <c r="A132" s="19">
        <f t="shared" ref="A132:A195" si="2">1+A131</f>
        <v>131</v>
      </c>
      <c r="B132" s="20">
        <v>45818</v>
      </c>
      <c r="C132" s="20">
        <v>45818</v>
      </c>
      <c r="D132" s="22" t="s">
        <v>198</v>
      </c>
      <c r="E132" s="23" t="s">
        <v>197</v>
      </c>
      <c r="F132" s="24"/>
      <c r="G132" s="24">
        <v>2400</v>
      </c>
      <c r="H132" s="28" t="s">
        <v>896</v>
      </c>
      <c r="I132" s="26" t="s">
        <v>897</v>
      </c>
      <c r="J132" s="3"/>
      <c r="K132" s="3"/>
      <c r="L132" s="9"/>
      <c r="M132" s="3"/>
      <c r="N132" s="3"/>
    </row>
    <row r="133" spans="1:14" ht="15.75" x14ac:dyDescent="0.25">
      <c r="A133" s="19">
        <f t="shared" si="2"/>
        <v>132</v>
      </c>
      <c r="B133" s="20">
        <v>45819</v>
      </c>
      <c r="C133" s="20">
        <v>45819</v>
      </c>
      <c r="D133" s="22" t="s">
        <v>200</v>
      </c>
      <c r="E133" s="23" t="s">
        <v>199</v>
      </c>
      <c r="F133" s="24"/>
      <c r="G133" s="24">
        <v>12850</v>
      </c>
      <c r="H133" s="28" t="s">
        <v>896</v>
      </c>
      <c r="I133" s="26" t="s">
        <v>897</v>
      </c>
      <c r="J133" s="3"/>
      <c r="K133" s="3"/>
      <c r="L133" s="9"/>
      <c r="M133" s="3"/>
      <c r="N133" s="3"/>
    </row>
    <row r="134" spans="1:14" ht="15.75" x14ac:dyDescent="0.25">
      <c r="A134" s="19">
        <f t="shared" si="2"/>
        <v>133</v>
      </c>
      <c r="B134" s="20">
        <v>45820</v>
      </c>
      <c r="C134" s="20">
        <v>45820</v>
      </c>
      <c r="D134" s="22" t="s">
        <v>202</v>
      </c>
      <c r="E134" s="23" t="s">
        <v>201</v>
      </c>
      <c r="F134" s="24"/>
      <c r="G134" s="24">
        <v>10498</v>
      </c>
      <c r="H134" s="28" t="s">
        <v>896</v>
      </c>
      <c r="I134" s="26" t="s">
        <v>897</v>
      </c>
      <c r="J134" s="3"/>
      <c r="K134" s="3"/>
      <c r="L134" s="9"/>
      <c r="M134" s="3"/>
      <c r="N134" s="3"/>
    </row>
    <row r="135" spans="1:14" ht="15.75" x14ac:dyDescent="0.25">
      <c r="A135" s="19">
        <f t="shared" si="2"/>
        <v>134</v>
      </c>
      <c r="B135" s="20">
        <v>45820</v>
      </c>
      <c r="C135" s="20">
        <v>45820</v>
      </c>
      <c r="D135" s="22">
        <v>516309711734</v>
      </c>
      <c r="E135" s="23" t="s">
        <v>23</v>
      </c>
      <c r="F135" s="24"/>
      <c r="G135" s="24">
        <v>50300</v>
      </c>
      <c r="H135" s="28" t="s">
        <v>900</v>
      </c>
      <c r="I135" s="26" t="s">
        <v>897</v>
      </c>
      <c r="J135" s="3"/>
      <c r="K135" s="3"/>
      <c r="L135" s="9"/>
      <c r="M135" s="3"/>
      <c r="N135" s="3"/>
    </row>
    <row r="136" spans="1:14" ht="15.75" x14ac:dyDescent="0.25">
      <c r="A136" s="19">
        <f t="shared" si="2"/>
        <v>135</v>
      </c>
      <c r="B136" s="20">
        <v>45820</v>
      </c>
      <c r="C136" s="20">
        <v>45820</v>
      </c>
      <c r="D136" s="22">
        <v>467693149</v>
      </c>
      <c r="E136" s="23" t="s">
        <v>203</v>
      </c>
      <c r="F136" s="24">
        <v>55440</v>
      </c>
      <c r="G136" s="24"/>
      <c r="H136" s="28" t="s">
        <v>903</v>
      </c>
      <c r="I136" s="26" t="s">
        <v>897</v>
      </c>
      <c r="J136" s="3"/>
      <c r="K136" s="3"/>
      <c r="L136" s="9"/>
      <c r="M136" s="3"/>
      <c r="N136" s="3"/>
    </row>
    <row r="137" spans="1:14" ht="15.75" x14ac:dyDescent="0.25">
      <c r="A137" s="19">
        <f t="shared" si="2"/>
        <v>136</v>
      </c>
      <c r="B137" s="20">
        <v>45820</v>
      </c>
      <c r="C137" s="20">
        <v>45820</v>
      </c>
      <c r="D137" s="22" t="s">
        <v>205</v>
      </c>
      <c r="E137" s="23" t="s">
        <v>204</v>
      </c>
      <c r="F137" s="24"/>
      <c r="G137" s="24">
        <v>5300</v>
      </c>
      <c r="H137" s="28" t="s">
        <v>900</v>
      </c>
      <c r="I137" s="26" t="s">
        <v>897</v>
      </c>
      <c r="J137" s="3"/>
      <c r="K137" s="3"/>
      <c r="L137" s="9"/>
      <c r="M137" s="3"/>
      <c r="N137" s="3"/>
    </row>
    <row r="138" spans="1:14" ht="15.75" x14ac:dyDescent="0.25">
      <c r="A138" s="19">
        <f t="shared" si="2"/>
        <v>137</v>
      </c>
      <c r="B138" s="20">
        <v>45821</v>
      </c>
      <c r="C138" s="20">
        <v>45821</v>
      </c>
      <c r="D138" s="22" t="s">
        <v>207</v>
      </c>
      <c r="E138" s="23" t="s">
        <v>206</v>
      </c>
      <c r="F138" s="24"/>
      <c r="G138" s="24">
        <v>16199</v>
      </c>
      <c r="H138" s="28" t="s">
        <v>896</v>
      </c>
      <c r="I138" s="26" t="s">
        <v>897</v>
      </c>
      <c r="J138" s="3"/>
      <c r="K138" s="3"/>
      <c r="L138" s="9"/>
      <c r="M138" s="3"/>
      <c r="N138" s="3"/>
    </row>
    <row r="139" spans="1:14" ht="15.75" x14ac:dyDescent="0.25">
      <c r="A139" s="19">
        <f t="shared" si="2"/>
        <v>138</v>
      </c>
      <c r="B139" s="20">
        <v>45821</v>
      </c>
      <c r="C139" s="20">
        <v>45821</v>
      </c>
      <c r="D139" s="22" t="s">
        <v>209</v>
      </c>
      <c r="E139" s="23" t="s">
        <v>208</v>
      </c>
      <c r="F139" s="24"/>
      <c r="G139" s="24">
        <v>4000</v>
      </c>
      <c r="H139" s="29" t="s">
        <v>903</v>
      </c>
      <c r="I139" s="26" t="s">
        <v>897</v>
      </c>
      <c r="J139" s="3"/>
      <c r="K139" s="3"/>
      <c r="L139" s="9"/>
      <c r="M139" s="3"/>
      <c r="N139" s="3"/>
    </row>
    <row r="140" spans="1:14" ht="15.75" x14ac:dyDescent="0.25">
      <c r="A140" s="19">
        <f t="shared" si="2"/>
        <v>139</v>
      </c>
      <c r="B140" s="20">
        <v>45822</v>
      </c>
      <c r="C140" s="20">
        <v>45822</v>
      </c>
      <c r="D140" s="22" t="s">
        <v>211</v>
      </c>
      <c r="E140" s="23" t="s">
        <v>210</v>
      </c>
      <c r="F140" s="24"/>
      <c r="G140" s="24">
        <v>13900</v>
      </c>
      <c r="H140" s="28" t="s">
        <v>896</v>
      </c>
      <c r="I140" s="26" t="s">
        <v>897</v>
      </c>
      <c r="J140" s="3"/>
      <c r="K140" s="3"/>
      <c r="L140" s="9"/>
      <c r="M140" s="3"/>
      <c r="N140" s="3"/>
    </row>
    <row r="141" spans="1:14" ht="15.75" x14ac:dyDescent="0.25">
      <c r="A141" s="19">
        <f t="shared" si="2"/>
        <v>140</v>
      </c>
      <c r="B141" s="20">
        <v>45823</v>
      </c>
      <c r="C141" s="20">
        <v>45823</v>
      </c>
      <c r="D141" s="22" t="s">
        <v>213</v>
      </c>
      <c r="E141" s="23" t="s">
        <v>212</v>
      </c>
      <c r="F141" s="24"/>
      <c r="G141" s="24">
        <v>5600</v>
      </c>
      <c r="H141" s="28" t="s">
        <v>896</v>
      </c>
      <c r="I141" s="26" t="s">
        <v>897</v>
      </c>
      <c r="J141" s="3"/>
      <c r="K141" s="3"/>
      <c r="L141" s="9"/>
      <c r="M141" s="3"/>
      <c r="N141" s="3"/>
    </row>
    <row r="142" spans="1:14" ht="15.75" x14ac:dyDescent="0.25">
      <c r="A142" s="19">
        <f t="shared" si="2"/>
        <v>141</v>
      </c>
      <c r="B142" s="20">
        <v>45824</v>
      </c>
      <c r="C142" s="20">
        <v>45824</v>
      </c>
      <c r="D142" s="22">
        <v>468182379</v>
      </c>
      <c r="E142" s="23" t="s">
        <v>13</v>
      </c>
      <c r="F142" s="24">
        <v>71026</v>
      </c>
      <c r="G142" s="24"/>
      <c r="H142" s="28" t="s">
        <v>899</v>
      </c>
      <c r="I142" s="26" t="s">
        <v>897</v>
      </c>
      <c r="J142" s="3"/>
      <c r="K142" s="3"/>
      <c r="L142" s="9"/>
      <c r="M142" s="3"/>
      <c r="N142" s="3"/>
    </row>
    <row r="143" spans="1:14" ht="15.75" x14ac:dyDescent="0.25">
      <c r="A143" s="19">
        <f t="shared" si="2"/>
        <v>142</v>
      </c>
      <c r="B143" s="20">
        <v>45824</v>
      </c>
      <c r="C143" s="20">
        <v>45824</v>
      </c>
      <c r="D143" s="22" t="s">
        <v>215</v>
      </c>
      <c r="E143" s="23" t="s">
        <v>214</v>
      </c>
      <c r="F143" s="24"/>
      <c r="G143" s="24">
        <v>5900</v>
      </c>
      <c r="H143" s="29" t="s">
        <v>903</v>
      </c>
      <c r="I143" s="26" t="s">
        <v>897</v>
      </c>
      <c r="J143" s="3"/>
      <c r="K143" s="3"/>
      <c r="L143" s="9"/>
      <c r="M143" s="3"/>
      <c r="N143" s="3"/>
    </row>
    <row r="144" spans="1:14" ht="15.75" x14ac:dyDescent="0.25">
      <c r="A144" s="19">
        <f t="shared" si="2"/>
        <v>143</v>
      </c>
      <c r="B144" s="20">
        <v>45825</v>
      </c>
      <c r="C144" s="20">
        <v>45825</v>
      </c>
      <c r="D144" s="22" t="s">
        <v>217</v>
      </c>
      <c r="E144" s="23" t="s">
        <v>216</v>
      </c>
      <c r="F144" s="24"/>
      <c r="G144" s="24">
        <v>15968.5</v>
      </c>
      <c r="H144" s="28" t="s">
        <v>896</v>
      </c>
      <c r="I144" s="26" t="s">
        <v>897</v>
      </c>
      <c r="J144" s="3"/>
      <c r="K144" s="3"/>
      <c r="L144" s="9"/>
      <c r="M144" s="3"/>
      <c r="N144" s="3"/>
    </row>
    <row r="145" spans="1:14" ht="15.75" x14ac:dyDescent="0.25">
      <c r="A145" s="19">
        <f t="shared" si="2"/>
        <v>144</v>
      </c>
      <c r="B145" s="20">
        <v>45827</v>
      </c>
      <c r="C145" s="20">
        <v>45827</v>
      </c>
      <c r="D145" s="22" t="s">
        <v>219</v>
      </c>
      <c r="E145" s="23" t="s">
        <v>218</v>
      </c>
      <c r="F145" s="24"/>
      <c r="G145" s="24">
        <v>2700</v>
      </c>
      <c r="H145" s="28" t="s">
        <v>896</v>
      </c>
      <c r="I145" s="26" t="s">
        <v>897</v>
      </c>
      <c r="J145" s="3"/>
      <c r="K145" s="3"/>
      <c r="L145" s="9"/>
      <c r="M145" s="3"/>
      <c r="N145" s="3"/>
    </row>
    <row r="146" spans="1:14" ht="15.75" x14ac:dyDescent="0.25">
      <c r="A146" s="19">
        <f t="shared" si="2"/>
        <v>145</v>
      </c>
      <c r="B146" s="20">
        <v>45828</v>
      </c>
      <c r="C146" s="20">
        <v>45828</v>
      </c>
      <c r="D146" s="22" t="s">
        <v>221</v>
      </c>
      <c r="E146" s="23" t="s">
        <v>220</v>
      </c>
      <c r="F146" s="24"/>
      <c r="G146" s="24">
        <v>8100</v>
      </c>
      <c r="H146" s="28" t="s">
        <v>896</v>
      </c>
      <c r="I146" s="26" t="s">
        <v>897</v>
      </c>
      <c r="J146" s="3"/>
      <c r="K146" s="3"/>
      <c r="L146" s="9"/>
      <c r="M146" s="3"/>
      <c r="N146" s="3"/>
    </row>
    <row r="147" spans="1:14" ht="15.75" x14ac:dyDescent="0.25">
      <c r="A147" s="19">
        <f t="shared" si="2"/>
        <v>146</v>
      </c>
      <c r="B147" s="20">
        <v>45828</v>
      </c>
      <c r="C147" s="20">
        <v>45828</v>
      </c>
      <c r="D147" s="22" t="s">
        <v>223</v>
      </c>
      <c r="E147" s="23" t="s">
        <v>222</v>
      </c>
      <c r="F147" s="24"/>
      <c r="G147" s="24">
        <v>5900</v>
      </c>
      <c r="H147" s="29" t="s">
        <v>903</v>
      </c>
      <c r="I147" s="26" t="s">
        <v>897</v>
      </c>
      <c r="J147" s="3"/>
      <c r="K147" s="3"/>
      <c r="L147" s="9"/>
      <c r="M147" s="3"/>
      <c r="N147" s="3"/>
    </row>
    <row r="148" spans="1:14" ht="15.75" x14ac:dyDescent="0.25">
      <c r="A148" s="19">
        <f t="shared" si="2"/>
        <v>147</v>
      </c>
      <c r="B148" s="20">
        <v>45828</v>
      </c>
      <c r="C148" s="20">
        <v>45828</v>
      </c>
      <c r="D148" s="22">
        <v>469069784</v>
      </c>
      <c r="E148" s="23" t="s">
        <v>137</v>
      </c>
      <c r="F148" s="24">
        <v>3360</v>
      </c>
      <c r="G148" s="24"/>
      <c r="H148" t="s">
        <v>914</v>
      </c>
      <c r="I148" s="26" t="s">
        <v>897</v>
      </c>
      <c r="J148" s="3"/>
      <c r="K148" s="3"/>
      <c r="L148" s="9"/>
      <c r="M148" s="3"/>
      <c r="N148" s="3"/>
    </row>
    <row r="149" spans="1:14" ht="15.75" x14ac:dyDescent="0.25">
      <c r="A149" s="19">
        <f t="shared" si="2"/>
        <v>148</v>
      </c>
      <c r="B149" s="20">
        <v>45828</v>
      </c>
      <c r="C149" s="20">
        <v>45828</v>
      </c>
      <c r="D149" s="22">
        <v>469069979</v>
      </c>
      <c r="E149" s="23" t="s">
        <v>136</v>
      </c>
      <c r="F149" s="24">
        <v>6000</v>
      </c>
      <c r="G149" s="24"/>
      <c r="H149" t="s">
        <v>913</v>
      </c>
      <c r="I149" s="26" t="s">
        <v>897</v>
      </c>
      <c r="J149" s="3"/>
      <c r="K149" s="3"/>
      <c r="L149" s="9"/>
      <c r="M149" s="3"/>
      <c r="N149" s="3"/>
    </row>
    <row r="150" spans="1:14" ht="15.75" x14ac:dyDescent="0.25">
      <c r="A150" s="19">
        <f t="shared" si="2"/>
        <v>149</v>
      </c>
      <c r="B150" s="20">
        <v>45829</v>
      </c>
      <c r="C150" s="20">
        <v>45829</v>
      </c>
      <c r="D150" s="22" t="s">
        <v>225</v>
      </c>
      <c r="E150" s="23" t="s">
        <v>224</v>
      </c>
      <c r="F150" s="24"/>
      <c r="G150" s="24">
        <v>2000</v>
      </c>
      <c r="H150" s="28" t="s">
        <v>896</v>
      </c>
      <c r="I150" s="26" t="s">
        <v>897</v>
      </c>
      <c r="J150" s="3"/>
      <c r="K150" s="3"/>
      <c r="L150" s="9"/>
      <c r="M150" s="3"/>
      <c r="N150" s="3"/>
    </row>
    <row r="151" spans="1:14" ht="15.75" x14ac:dyDescent="0.25">
      <c r="A151" s="19">
        <f t="shared" si="2"/>
        <v>150</v>
      </c>
      <c r="B151" s="20">
        <v>45829</v>
      </c>
      <c r="C151" s="20">
        <v>45829</v>
      </c>
      <c r="D151" s="22" t="s">
        <v>227</v>
      </c>
      <c r="E151" s="23" t="s">
        <v>226</v>
      </c>
      <c r="F151" s="24"/>
      <c r="G151" s="24">
        <v>25900</v>
      </c>
      <c r="H151" s="28" t="s">
        <v>900</v>
      </c>
      <c r="I151" s="26" t="s">
        <v>897</v>
      </c>
      <c r="J151" s="3"/>
      <c r="K151" s="3"/>
      <c r="L151" s="9"/>
      <c r="M151" s="3"/>
      <c r="N151" s="3"/>
    </row>
    <row r="152" spans="1:14" ht="15.75" x14ac:dyDescent="0.25">
      <c r="A152" s="19">
        <f t="shared" si="2"/>
        <v>151</v>
      </c>
      <c r="B152" s="20">
        <v>45829</v>
      </c>
      <c r="C152" s="20">
        <v>45829</v>
      </c>
      <c r="D152" s="22">
        <v>469191337</v>
      </c>
      <c r="E152" s="23" t="s">
        <v>228</v>
      </c>
      <c r="F152" s="24">
        <v>55440</v>
      </c>
      <c r="G152" s="24"/>
      <c r="H152" s="28" t="s">
        <v>903</v>
      </c>
      <c r="I152" s="26" t="s">
        <v>897</v>
      </c>
      <c r="J152" s="3"/>
      <c r="K152" s="3"/>
      <c r="L152" s="9"/>
      <c r="M152" s="3"/>
      <c r="N152" s="3"/>
    </row>
    <row r="153" spans="1:14" ht="15.75" x14ac:dyDescent="0.25">
      <c r="A153" s="19">
        <f t="shared" si="2"/>
        <v>152</v>
      </c>
      <c r="B153" s="20">
        <v>45830</v>
      </c>
      <c r="C153" s="20">
        <v>45830</v>
      </c>
      <c r="D153" s="22" t="s">
        <v>230</v>
      </c>
      <c r="E153" s="23" t="s">
        <v>229</v>
      </c>
      <c r="F153" s="24"/>
      <c r="G153" s="24">
        <v>13049</v>
      </c>
      <c r="H153" s="28" t="s">
        <v>896</v>
      </c>
      <c r="I153" s="26" t="s">
        <v>897</v>
      </c>
      <c r="J153" s="3"/>
      <c r="K153" s="3"/>
      <c r="L153" s="9"/>
      <c r="M153" s="3"/>
      <c r="N153" s="3"/>
    </row>
    <row r="154" spans="1:14" ht="15.75" x14ac:dyDescent="0.25">
      <c r="A154" s="19">
        <f t="shared" si="2"/>
        <v>153</v>
      </c>
      <c r="B154" s="20">
        <v>45831</v>
      </c>
      <c r="C154" s="20">
        <v>45831</v>
      </c>
      <c r="D154" s="22" t="s">
        <v>232</v>
      </c>
      <c r="E154" s="23" t="s">
        <v>231</v>
      </c>
      <c r="F154" s="24"/>
      <c r="G154" s="24">
        <v>10498</v>
      </c>
      <c r="H154" s="23" t="s">
        <v>906</v>
      </c>
      <c r="I154" s="26" t="s">
        <v>897</v>
      </c>
      <c r="J154" s="3"/>
      <c r="K154" s="3"/>
      <c r="L154" s="9"/>
      <c r="M154" s="3"/>
      <c r="N154" s="3"/>
    </row>
    <row r="155" spans="1:14" ht="15.75" x14ac:dyDescent="0.25">
      <c r="A155" s="19">
        <f t="shared" si="2"/>
        <v>154</v>
      </c>
      <c r="B155" s="20">
        <v>45833</v>
      </c>
      <c r="C155" s="20">
        <v>45833</v>
      </c>
      <c r="D155" s="22" t="s">
        <v>234</v>
      </c>
      <c r="E155" s="23" t="s">
        <v>233</v>
      </c>
      <c r="F155" s="24"/>
      <c r="G155" s="24">
        <v>8200</v>
      </c>
      <c r="H155" s="28" t="s">
        <v>896</v>
      </c>
      <c r="I155" s="26" t="s">
        <v>897</v>
      </c>
      <c r="J155" s="3"/>
      <c r="K155" s="3"/>
      <c r="L155" s="9"/>
      <c r="M155" s="3"/>
      <c r="N155" s="3"/>
    </row>
    <row r="156" spans="1:14" ht="15.75" x14ac:dyDescent="0.25">
      <c r="A156" s="19">
        <f t="shared" si="2"/>
        <v>155</v>
      </c>
      <c r="B156" s="20">
        <v>45833</v>
      </c>
      <c r="C156" s="20">
        <v>45833</v>
      </c>
      <c r="D156" s="22">
        <v>469773676</v>
      </c>
      <c r="E156" s="23" t="s">
        <v>235</v>
      </c>
      <c r="F156" s="24">
        <v>19040</v>
      </c>
      <c r="G156" s="24"/>
      <c r="H156" s="28" t="s">
        <v>910</v>
      </c>
      <c r="I156" s="26" t="s">
        <v>897</v>
      </c>
      <c r="J156" s="3"/>
      <c r="K156" s="3"/>
      <c r="L156" s="9"/>
      <c r="M156" s="3"/>
      <c r="N156" s="3"/>
    </row>
    <row r="157" spans="1:14" ht="15.75" x14ac:dyDescent="0.25">
      <c r="A157" s="19">
        <f t="shared" si="2"/>
        <v>156</v>
      </c>
      <c r="B157" s="20">
        <v>45834</v>
      </c>
      <c r="C157" s="20">
        <v>45834</v>
      </c>
      <c r="D157" s="22" t="s">
        <v>237</v>
      </c>
      <c r="E157" s="23" t="s">
        <v>236</v>
      </c>
      <c r="F157" s="24"/>
      <c r="G157" s="24">
        <v>16249</v>
      </c>
      <c r="H157" s="28" t="s">
        <v>896</v>
      </c>
      <c r="I157" s="26" t="s">
        <v>897</v>
      </c>
      <c r="J157" s="3"/>
      <c r="K157" s="3"/>
      <c r="L157" s="9"/>
      <c r="M157" s="3"/>
      <c r="N157" s="3"/>
    </row>
    <row r="158" spans="1:14" ht="15.75" x14ac:dyDescent="0.25">
      <c r="A158" s="19">
        <f t="shared" si="2"/>
        <v>157</v>
      </c>
      <c r="B158" s="20">
        <v>45835</v>
      </c>
      <c r="C158" s="20">
        <v>45835</v>
      </c>
      <c r="D158" s="22" t="s">
        <v>239</v>
      </c>
      <c r="E158" s="23" t="s">
        <v>238</v>
      </c>
      <c r="F158" s="24"/>
      <c r="G158" s="24">
        <v>11450</v>
      </c>
      <c r="H158" s="28" t="s">
        <v>896</v>
      </c>
      <c r="I158" s="26" t="s">
        <v>897</v>
      </c>
      <c r="J158" s="3"/>
      <c r="K158" s="3"/>
      <c r="L158" s="9"/>
      <c r="M158" s="3"/>
      <c r="N158" s="3"/>
    </row>
    <row r="159" spans="1:14" ht="15.75" x14ac:dyDescent="0.25">
      <c r="A159" s="19">
        <f t="shared" si="2"/>
        <v>158</v>
      </c>
      <c r="B159" s="20">
        <v>45836</v>
      </c>
      <c r="C159" s="20">
        <v>45836</v>
      </c>
      <c r="D159" s="22" t="s">
        <v>241</v>
      </c>
      <c r="E159" s="23" t="s">
        <v>240</v>
      </c>
      <c r="F159" s="24"/>
      <c r="G159" s="24">
        <v>18500</v>
      </c>
      <c r="H159" s="28" t="s">
        <v>896</v>
      </c>
      <c r="I159" s="26" t="s">
        <v>897</v>
      </c>
      <c r="J159" s="3"/>
      <c r="K159" s="3"/>
      <c r="L159" s="9"/>
      <c r="M159" s="3"/>
      <c r="N159" s="3"/>
    </row>
    <row r="160" spans="1:14" ht="15.75" x14ac:dyDescent="0.25">
      <c r="A160" s="19">
        <f t="shared" si="2"/>
        <v>159</v>
      </c>
      <c r="B160" s="20">
        <v>45836</v>
      </c>
      <c r="C160" s="20">
        <v>45836</v>
      </c>
      <c r="D160" s="22" t="s">
        <v>243</v>
      </c>
      <c r="E160" s="23" t="s">
        <v>242</v>
      </c>
      <c r="F160" s="24"/>
      <c r="G160" s="24">
        <v>5400</v>
      </c>
      <c r="H160" s="29" t="s">
        <v>903</v>
      </c>
      <c r="I160" s="26" t="s">
        <v>897</v>
      </c>
      <c r="J160" s="3"/>
      <c r="K160" s="3"/>
      <c r="L160" s="9"/>
      <c r="M160" s="3"/>
      <c r="N160" s="3"/>
    </row>
    <row r="161" spans="1:14" ht="15.75" x14ac:dyDescent="0.25">
      <c r="A161" s="19">
        <f t="shared" si="2"/>
        <v>160</v>
      </c>
      <c r="B161" s="20">
        <v>45837</v>
      </c>
      <c r="C161" s="20">
        <v>45837</v>
      </c>
      <c r="D161" s="22" t="s">
        <v>245</v>
      </c>
      <c r="E161" s="23" t="s">
        <v>244</v>
      </c>
      <c r="F161" s="24"/>
      <c r="G161" s="24">
        <v>8575</v>
      </c>
      <c r="H161" s="28" t="s">
        <v>896</v>
      </c>
      <c r="I161" s="26" t="s">
        <v>897</v>
      </c>
      <c r="J161" s="3"/>
      <c r="K161" s="3"/>
      <c r="L161" s="9"/>
      <c r="M161" s="3"/>
      <c r="N161" s="3"/>
    </row>
    <row r="162" spans="1:14" ht="15.75" x14ac:dyDescent="0.25">
      <c r="A162" s="19">
        <f t="shared" si="2"/>
        <v>161</v>
      </c>
      <c r="B162" s="20">
        <v>45837</v>
      </c>
      <c r="C162" s="20">
        <v>45837</v>
      </c>
      <c r="D162" s="22">
        <v>470321489</v>
      </c>
      <c r="E162" s="23" t="s">
        <v>246</v>
      </c>
      <c r="F162" s="24">
        <v>31000</v>
      </c>
      <c r="G162" s="24"/>
      <c r="H162" s="23" t="s">
        <v>901</v>
      </c>
      <c r="I162" s="26" t="s">
        <v>897</v>
      </c>
      <c r="J162" s="3"/>
      <c r="K162" s="3"/>
      <c r="L162" s="9"/>
      <c r="M162" s="3"/>
      <c r="N162" s="3"/>
    </row>
    <row r="163" spans="1:14" ht="15.75" x14ac:dyDescent="0.25">
      <c r="A163" s="19">
        <f t="shared" si="2"/>
        <v>162</v>
      </c>
      <c r="B163" s="20">
        <v>45838</v>
      </c>
      <c r="C163" s="20">
        <v>45838</v>
      </c>
      <c r="D163" s="22">
        <v>470529252</v>
      </c>
      <c r="E163" s="23" t="s">
        <v>247</v>
      </c>
      <c r="F163" s="24">
        <v>2500</v>
      </c>
      <c r="G163" s="24"/>
      <c r="H163" s="23" t="s">
        <v>918</v>
      </c>
      <c r="I163" s="26" t="s">
        <v>897</v>
      </c>
      <c r="J163" s="3"/>
      <c r="K163" s="3"/>
      <c r="L163" s="9"/>
      <c r="M163" s="3"/>
      <c r="N163" s="3"/>
    </row>
    <row r="164" spans="1:14" ht="15.75" x14ac:dyDescent="0.25">
      <c r="A164" s="19">
        <f t="shared" si="2"/>
        <v>163</v>
      </c>
      <c r="B164" s="20">
        <v>45839</v>
      </c>
      <c r="C164" s="20">
        <v>45839</v>
      </c>
      <c r="D164" s="22" t="s">
        <v>249</v>
      </c>
      <c r="E164" s="23" t="s">
        <v>248</v>
      </c>
      <c r="F164" s="24"/>
      <c r="G164" s="24">
        <v>7700</v>
      </c>
      <c r="H164" s="28" t="s">
        <v>896</v>
      </c>
      <c r="I164" s="26" t="s">
        <v>897</v>
      </c>
      <c r="J164" s="3"/>
      <c r="K164" s="3"/>
      <c r="L164" s="9"/>
      <c r="M164" s="3"/>
      <c r="N164" s="3"/>
    </row>
    <row r="165" spans="1:14" ht="15.75" x14ac:dyDescent="0.25">
      <c r="A165" s="19">
        <f t="shared" si="2"/>
        <v>164</v>
      </c>
      <c r="B165" s="20">
        <v>45839</v>
      </c>
      <c r="C165" s="20">
        <v>45839</v>
      </c>
      <c r="D165" s="22" t="s">
        <v>251</v>
      </c>
      <c r="E165" s="23" t="s">
        <v>250</v>
      </c>
      <c r="F165" s="24"/>
      <c r="G165" s="24">
        <v>2000</v>
      </c>
      <c r="H165" s="29" t="s">
        <v>903</v>
      </c>
      <c r="I165" s="26" t="s">
        <v>897</v>
      </c>
      <c r="J165" s="3"/>
      <c r="K165" s="3"/>
      <c r="L165" s="9"/>
      <c r="M165" s="3"/>
      <c r="N165" s="3"/>
    </row>
    <row r="166" spans="1:14" ht="15.75" x14ac:dyDescent="0.25">
      <c r="A166" s="19">
        <f t="shared" si="2"/>
        <v>165</v>
      </c>
      <c r="B166" s="20">
        <v>45840</v>
      </c>
      <c r="C166" s="20">
        <v>45840</v>
      </c>
      <c r="D166" s="22" t="s">
        <v>253</v>
      </c>
      <c r="E166" s="23" t="s">
        <v>252</v>
      </c>
      <c r="F166" s="24"/>
      <c r="G166" s="24">
        <v>8000</v>
      </c>
      <c r="H166" s="28" t="s">
        <v>896</v>
      </c>
      <c r="I166" s="26" t="s">
        <v>897</v>
      </c>
      <c r="J166" s="3"/>
      <c r="K166" s="3"/>
      <c r="L166" s="9"/>
      <c r="M166" s="3"/>
      <c r="N166" s="3"/>
    </row>
    <row r="167" spans="1:14" ht="15.75" x14ac:dyDescent="0.25">
      <c r="A167" s="19">
        <f t="shared" si="2"/>
        <v>166</v>
      </c>
      <c r="B167" s="20">
        <v>45840</v>
      </c>
      <c r="C167" s="20">
        <v>45840</v>
      </c>
      <c r="D167" s="22">
        <v>470970389</v>
      </c>
      <c r="E167" s="23" t="s">
        <v>13</v>
      </c>
      <c r="F167" s="24">
        <v>50000</v>
      </c>
      <c r="G167" s="24"/>
      <c r="H167" s="28" t="s">
        <v>899</v>
      </c>
      <c r="I167" s="26" t="s">
        <v>897</v>
      </c>
      <c r="J167" s="3"/>
      <c r="K167" s="3"/>
      <c r="L167" s="9"/>
      <c r="M167" s="3"/>
      <c r="N167" s="3"/>
    </row>
    <row r="168" spans="1:14" ht="15.75" x14ac:dyDescent="0.25">
      <c r="A168" s="19">
        <f t="shared" si="2"/>
        <v>167</v>
      </c>
      <c r="B168" s="20">
        <v>45840</v>
      </c>
      <c r="C168" s="20">
        <v>45840</v>
      </c>
      <c r="D168" s="22">
        <v>518311715287</v>
      </c>
      <c r="E168" s="23" t="s">
        <v>23</v>
      </c>
      <c r="F168" s="24"/>
      <c r="G168" s="24">
        <v>22000</v>
      </c>
      <c r="H168" s="28" t="s">
        <v>900</v>
      </c>
      <c r="I168" s="26" t="s">
        <v>897</v>
      </c>
      <c r="J168" s="3"/>
      <c r="K168" s="3"/>
      <c r="L168" s="9"/>
      <c r="M168" s="3"/>
      <c r="N168" s="3"/>
    </row>
    <row r="169" spans="1:14" ht="15.75" x14ac:dyDescent="0.25">
      <c r="A169" s="19">
        <f t="shared" si="2"/>
        <v>168</v>
      </c>
      <c r="B169" s="20">
        <v>45841</v>
      </c>
      <c r="C169" s="20">
        <v>45841</v>
      </c>
      <c r="D169" s="22" t="s">
        <v>255</v>
      </c>
      <c r="E169" s="23" t="s">
        <v>254</v>
      </c>
      <c r="F169" s="24"/>
      <c r="G169" s="24">
        <v>5900</v>
      </c>
      <c r="H169" s="28" t="s">
        <v>896</v>
      </c>
      <c r="I169" s="26" t="s">
        <v>897</v>
      </c>
      <c r="J169" s="3"/>
      <c r="K169" s="3"/>
      <c r="L169" s="9"/>
      <c r="M169" s="3"/>
      <c r="N169" s="3"/>
    </row>
    <row r="170" spans="1:14" ht="15.75" x14ac:dyDescent="0.25">
      <c r="A170" s="19">
        <f t="shared" si="2"/>
        <v>169</v>
      </c>
      <c r="B170" s="20">
        <v>45842</v>
      </c>
      <c r="C170" s="20">
        <v>45842</v>
      </c>
      <c r="D170" s="22" t="s">
        <v>257</v>
      </c>
      <c r="E170" s="23" t="s">
        <v>256</v>
      </c>
      <c r="F170" s="24"/>
      <c r="G170" s="24">
        <v>12500</v>
      </c>
      <c r="H170" s="28" t="s">
        <v>896</v>
      </c>
      <c r="I170" s="26" t="s">
        <v>897</v>
      </c>
      <c r="J170" s="3"/>
      <c r="K170" s="3"/>
      <c r="L170" s="9"/>
      <c r="M170" s="3"/>
      <c r="N170" s="3"/>
    </row>
    <row r="171" spans="1:14" ht="15.75" x14ac:dyDescent="0.25">
      <c r="A171" s="19">
        <f t="shared" si="2"/>
        <v>170</v>
      </c>
      <c r="B171" s="20">
        <v>45842</v>
      </c>
      <c r="C171" s="20">
        <v>45842</v>
      </c>
      <c r="D171" s="22" t="s">
        <v>259</v>
      </c>
      <c r="E171" s="23" t="s">
        <v>258</v>
      </c>
      <c r="F171" s="24"/>
      <c r="G171" s="24">
        <v>6000</v>
      </c>
      <c r="H171" s="23" t="s">
        <v>905</v>
      </c>
      <c r="I171" s="26" t="s">
        <v>897</v>
      </c>
      <c r="J171" s="3"/>
      <c r="K171" s="3"/>
      <c r="L171" s="9"/>
      <c r="M171" s="3"/>
      <c r="N171" s="3"/>
    </row>
    <row r="172" spans="1:14" ht="15.75" x14ac:dyDescent="0.25">
      <c r="A172" s="19">
        <f t="shared" si="2"/>
        <v>171</v>
      </c>
      <c r="B172" s="20">
        <v>45843</v>
      </c>
      <c r="C172" s="20">
        <v>45843</v>
      </c>
      <c r="D172" s="22" t="s">
        <v>261</v>
      </c>
      <c r="E172" s="23" t="s">
        <v>260</v>
      </c>
      <c r="F172" s="24"/>
      <c r="G172" s="24">
        <v>5041.3</v>
      </c>
      <c r="H172" s="28" t="s">
        <v>896</v>
      </c>
      <c r="I172" s="26" t="s">
        <v>897</v>
      </c>
      <c r="J172" s="3"/>
      <c r="K172" s="3"/>
      <c r="L172" s="9"/>
      <c r="M172" s="3"/>
      <c r="N172" s="3"/>
    </row>
    <row r="173" spans="1:14" ht="15.75" x14ac:dyDescent="0.25">
      <c r="A173" s="19">
        <f t="shared" si="2"/>
        <v>172</v>
      </c>
      <c r="B173" s="20">
        <v>45843</v>
      </c>
      <c r="C173" s="20">
        <v>45843</v>
      </c>
      <c r="D173" s="22" t="s">
        <v>263</v>
      </c>
      <c r="E173" s="23" t="s">
        <v>262</v>
      </c>
      <c r="F173" s="24"/>
      <c r="G173" s="24">
        <v>5249</v>
      </c>
      <c r="H173" s="23" t="s">
        <v>919</v>
      </c>
      <c r="I173" s="26" t="s">
        <v>897</v>
      </c>
      <c r="J173" s="3"/>
      <c r="K173" s="3"/>
      <c r="L173" s="9"/>
      <c r="M173" s="3"/>
      <c r="N173" s="3"/>
    </row>
    <row r="174" spans="1:14" ht="15.75" x14ac:dyDescent="0.25">
      <c r="A174" s="19">
        <f t="shared" si="2"/>
        <v>173</v>
      </c>
      <c r="B174" s="20">
        <v>45844</v>
      </c>
      <c r="C174" s="20">
        <v>45844</v>
      </c>
      <c r="D174" s="22" t="s">
        <v>265</v>
      </c>
      <c r="E174" s="23" t="s">
        <v>264</v>
      </c>
      <c r="F174" s="24"/>
      <c r="G174" s="24">
        <v>23947</v>
      </c>
      <c r="H174" s="28" t="s">
        <v>896</v>
      </c>
      <c r="I174" s="26" t="s">
        <v>897</v>
      </c>
      <c r="J174" s="3"/>
      <c r="K174" s="3"/>
      <c r="L174" s="9"/>
      <c r="M174" s="3"/>
      <c r="N174" s="3"/>
    </row>
    <row r="175" spans="1:14" ht="15.75" x14ac:dyDescent="0.25">
      <c r="A175" s="19">
        <f t="shared" si="2"/>
        <v>174</v>
      </c>
      <c r="B175" s="20">
        <v>45846</v>
      </c>
      <c r="C175" s="20">
        <v>45846</v>
      </c>
      <c r="D175" s="22" t="s">
        <v>267</v>
      </c>
      <c r="E175" s="23" t="s">
        <v>266</v>
      </c>
      <c r="F175" s="24"/>
      <c r="G175" s="24">
        <v>16000</v>
      </c>
      <c r="H175" s="28" t="s">
        <v>896</v>
      </c>
      <c r="I175" s="26" t="s">
        <v>897</v>
      </c>
      <c r="J175" s="3"/>
      <c r="K175" s="3"/>
      <c r="L175" s="9"/>
      <c r="M175" s="3"/>
      <c r="N175" s="3"/>
    </row>
    <row r="176" spans="1:14" ht="15.75" x14ac:dyDescent="0.25">
      <c r="A176" s="19">
        <f t="shared" si="2"/>
        <v>175</v>
      </c>
      <c r="B176" s="20">
        <v>45846</v>
      </c>
      <c r="C176" s="20">
        <v>45846</v>
      </c>
      <c r="D176" s="22">
        <v>472149685</v>
      </c>
      <c r="E176" s="23" t="s">
        <v>268</v>
      </c>
      <c r="F176" s="24">
        <v>55440</v>
      </c>
      <c r="G176" s="24"/>
      <c r="H176" s="28" t="s">
        <v>903</v>
      </c>
      <c r="I176" s="26" t="s">
        <v>897</v>
      </c>
      <c r="J176" s="3"/>
      <c r="K176" s="3"/>
      <c r="L176" s="9"/>
      <c r="M176" s="3"/>
      <c r="N176" s="3"/>
    </row>
    <row r="177" spans="1:14" ht="15.75" x14ac:dyDescent="0.25">
      <c r="A177" s="19">
        <f t="shared" si="2"/>
        <v>176</v>
      </c>
      <c r="B177" s="20">
        <v>45847</v>
      </c>
      <c r="C177" s="20">
        <v>45847</v>
      </c>
      <c r="D177" s="22" t="s">
        <v>270</v>
      </c>
      <c r="E177" s="23" t="s">
        <v>269</v>
      </c>
      <c r="F177" s="24"/>
      <c r="G177" s="24">
        <v>2900</v>
      </c>
      <c r="H177" s="28" t="s">
        <v>896</v>
      </c>
      <c r="I177" s="26" t="s">
        <v>897</v>
      </c>
      <c r="J177" s="3"/>
      <c r="K177" s="3"/>
      <c r="L177" s="9"/>
      <c r="M177" s="3"/>
      <c r="N177" s="3"/>
    </row>
    <row r="178" spans="1:14" ht="15.75" x14ac:dyDescent="0.25">
      <c r="A178" s="19">
        <f t="shared" si="2"/>
        <v>177</v>
      </c>
      <c r="B178" s="20">
        <v>45848</v>
      </c>
      <c r="C178" s="20">
        <v>45848</v>
      </c>
      <c r="D178" s="22" t="s">
        <v>272</v>
      </c>
      <c r="E178" s="23" t="s">
        <v>271</v>
      </c>
      <c r="F178" s="24"/>
      <c r="G178" s="24">
        <v>4800</v>
      </c>
      <c r="H178" s="28" t="s">
        <v>896</v>
      </c>
      <c r="I178" s="26" t="s">
        <v>897</v>
      </c>
      <c r="J178" s="3"/>
      <c r="K178" s="3"/>
      <c r="L178" s="9"/>
      <c r="M178" s="3"/>
      <c r="N178" s="3"/>
    </row>
    <row r="179" spans="1:14" ht="15.75" x14ac:dyDescent="0.25">
      <c r="A179" s="19">
        <f t="shared" si="2"/>
        <v>178</v>
      </c>
      <c r="B179" s="20">
        <v>45848</v>
      </c>
      <c r="C179" s="20">
        <v>45848</v>
      </c>
      <c r="D179" s="22">
        <v>472605926</v>
      </c>
      <c r="E179" s="23" t="s">
        <v>137</v>
      </c>
      <c r="F179" s="24">
        <v>25320</v>
      </c>
      <c r="G179" s="24"/>
      <c r="H179" t="s">
        <v>914</v>
      </c>
      <c r="I179" s="26" t="s">
        <v>897</v>
      </c>
      <c r="J179" s="3"/>
      <c r="K179" s="3"/>
      <c r="L179" s="9"/>
      <c r="M179" s="3"/>
      <c r="N179" s="3"/>
    </row>
    <row r="180" spans="1:14" ht="15.75" x14ac:dyDescent="0.25">
      <c r="A180" s="19">
        <f t="shared" si="2"/>
        <v>179</v>
      </c>
      <c r="B180" s="20">
        <v>45848</v>
      </c>
      <c r="C180" s="20">
        <v>45848</v>
      </c>
      <c r="D180" s="22">
        <v>472606390</v>
      </c>
      <c r="E180" s="23" t="s">
        <v>136</v>
      </c>
      <c r="F180" s="24">
        <v>25320</v>
      </c>
      <c r="G180" s="24"/>
      <c r="H180" t="s">
        <v>913</v>
      </c>
      <c r="I180" s="26" t="s">
        <v>897</v>
      </c>
      <c r="J180" s="3"/>
      <c r="K180" s="3"/>
      <c r="L180" s="9"/>
      <c r="M180" s="3"/>
      <c r="N180" s="3"/>
    </row>
    <row r="181" spans="1:14" ht="15.75" x14ac:dyDescent="0.25">
      <c r="A181" s="19">
        <f t="shared" si="2"/>
        <v>180</v>
      </c>
      <c r="B181" s="20">
        <v>45848</v>
      </c>
      <c r="C181" s="20">
        <v>45848</v>
      </c>
      <c r="D181" s="22">
        <v>472619997</v>
      </c>
      <c r="E181" s="23" t="s">
        <v>273</v>
      </c>
      <c r="F181" s="24">
        <v>8800</v>
      </c>
      <c r="G181" s="24"/>
      <c r="H181" s="23" t="s">
        <v>903</v>
      </c>
      <c r="I181" s="26" t="s">
        <v>897</v>
      </c>
      <c r="J181" s="3"/>
      <c r="K181" s="3"/>
      <c r="L181" s="9"/>
      <c r="M181" s="3"/>
      <c r="N181" s="3"/>
    </row>
    <row r="182" spans="1:14" ht="15.75" x14ac:dyDescent="0.25">
      <c r="A182" s="19">
        <f t="shared" si="2"/>
        <v>181</v>
      </c>
      <c r="B182" s="20">
        <v>45849</v>
      </c>
      <c r="C182" s="20">
        <v>45849</v>
      </c>
      <c r="D182" s="22" t="s">
        <v>275</v>
      </c>
      <c r="E182" s="23" t="s">
        <v>274</v>
      </c>
      <c r="F182" s="24"/>
      <c r="G182" s="24">
        <v>14949</v>
      </c>
      <c r="H182" s="28" t="s">
        <v>896</v>
      </c>
      <c r="I182" s="26" t="s">
        <v>897</v>
      </c>
      <c r="J182" s="3"/>
      <c r="K182" s="3"/>
      <c r="L182" s="9"/>
      <c r="M182" s="3"/>
      <c r="N182" s="3"/>
    </row>
    <row r="183" spans="1:14" ht="15.75" x14ac:dyDescent="0.25">
      <c r="A183" s="19">
        <f t="shared" si="2"/>
        <v>182</v>
      </c>
      <c r="B183" s="20">
        <v>45850</v>
      </c>
      <c r="C183" s="20">
        <v>45850</v>
      </c>
      <c r="D183" s="22" t="s">
        <v>277</v>
      </c>
      <c r="E183" s="23" t="s">
        <v>276</v>
      </c>
      <c r="F183" s="24"/>
      <c r="G183" s="24">
        <v>2500</v>
      </c>
      <c r="H183" s="28" t="s">
        <v>896</v>
      </c>
      <c r="I183" s="26" t="s">
        <v>897</v>
      </c>
      <c r="J183" s="3"/>
      <c r="K183" s="3"/>
      <c r="L183" s="9"/>
      <c r="M183" s="3"/>
      <c r="N183" s="3"/>
    </row>
    <row r="184" spans="1:14" ht="15.75" x14ac:dyDescent="0.25">
      <c r="A184" s="19">
        <f t="shared" si="2"/>
        <v>183</v>
      </c>
      <c r="B184" s="20">
        <v>45850</v>
      </c>
      <c r="C184" s="20">
        <v>45850</v>
      </c>
      <c r="D184" s="22">
        <v>473041158</v>
      </c>
      <c r="E184" s="23" t="s">
        <v>278</v>
      </c>
      <c r="F184" s="24">
        <v>9400</v>
      </c>
      <c r="G184" s="24"/>
      <c r="H184" s="28" t="s">
        <v>900</v>
      </c>
      <c r="I184" s="26" t="s">
        <v>897</v>
      </c>
      <c r="J184" s="3"/>
      <c r="K184" s="3"/>
      <c r="L184" s="9"/>
      <c r="M184" s="3"/>
      <c r="N184" s="3"/>
    </row>
    <row r="185" spans="1:14" ht="15.75" x14ac:dyDescent="0.25">
      <c r="A185" s="19">
        <f t="shared" si="2"/>
        <v>184</v>
      </c>
      <c r="B185" s="20">
        <v>45850</v>
      </c>
      <c r="C185" s="20">
        <v>45850</v>
      </c>
      <c r="D185" s="22" t="s">
        <v>280</v>
      </c>
      <c r="E185" s="23" t="s">
        <v>279</v>
      </c>
      <c r="F185" s="24"/>
      <c r="G185" s="24">
        <v>5500</v>
      </c>
      <c r="H185" s="29" t="s">
        <v>903</v>
      </c>
      <c r="I185" s="26" t="s">
        <v>897</v>
      </c>
      <c r="J185" s="3"/>
      <c r="K185" s="3"/>
      <c r="L185" s="9"/>
      <c r="M185" s="3"/>
      <c r="N185" s="3"/>
    </row>
    <row r="186" spans="1:14" ht="15.75" x14ac:dyDescent="0.25">
      <c r="A186" s="19">
        <f t="shared" si="2"/>
        <v>185</v>
      </c>
      <c r="B186" s="20">
        <v>45850</v>
      </c>
      <c r="C186" s="20">
        <v>45850</v>
      </c>
      <c r="D186" s="22" t="s">
        <v>282</v>
      </c>
      <c r="E186" s="23" t="s">
        <v>281</v>
      </c>
      <c r="F186" s="24"/>
      <c r="G186" s="24">
        <v>21700</v>
      </c>
      <c r="H186" s="28" t="s">
        <v>900</v>
      </c>
      <c r="I186" s="26" t="s">
        <v>897</v>
      </c>
      <c r="J186" s="3"/>
      <c r="K186" s="3"/>
      <c r="L186" s="9"/>
      <c r="M186" s="3"/>
      <c r="N186" s="3"/>
    </row>
    <row r="187" spans="1:14" ht="15.75" x14ac:dyDescent="0.25">
      <c r="A187" s="19">
        <f t="shared" si="2"/>
        <v>186</v>
      </c>
      <c r="B187" s="20">
        <v>45851</v>
      </c>
      <c r="C187" s="20">
        <v>45851</v>
      </c>
      <c r="D187" s="22" t="s">
        <v>284</v>
      </c>
      <c r="E187" s="23" t="s">
        <v>283</v>
      </c>
      <c r="F187" s="24"/>
      <c r="G187" s="24">
        <v>18350</v>
      </c>
      <c r="H187" s="28" t="s">
        <v>896</v>
      </c>
      <c r="I187" s="26" t="s">
        <v>897</v>
      </c>
      <c r="J187" s="3"/>
      <c r="K187" s="3"/>
      <c r="L187" s="9"/>
      <c r="M187" s="3"/>
      <c r="N187" s="3"/>
    </row>
    <row r="188" spans="1:14" ht="15.75" x14ac:dyDescent="0.25">
      <c r="A188" s="19">
        <f t="shared" si="2"/>
        <v>187</v>
      </c>
      <c r="B188" s="20">
        <v>45852</v>
      </c>
      <c r="C188" s="20">
        <v>45852</v>
      </c>
      <c r="D188" s="22">
        <v>473297010</v>
      </c>
      <c r="E188" s="23" t="s">
        <v>285</v>
      </c>
      <c r="F188" s="24">
        <v>50527</v>
      </c>
      <c r="G188" s="24"/>
      <c r="H188" s="28" t="s">
        <v>903</v>
      </c>
      <c r="I188" s="26" t="s">
        <v>897</v>
      </c>
      <c r="J188" s="3"/>
      <c r="K188" s="3"/>
      <c r="L188" s="9"/>
      <c r="M188" s="3"/>
      <c r="N188" s="3"/>
    </row>
    <row r="189" spans="1:14" ht="15.75" x14ac:dyDescent="0.25">
      <c r="A189" s="19">
        <f t="shared" si="2"/>
        <v>188</v>
      </c>
      <c r="B189" s="20">
        <v>45853</v>
      </c>
      <c r="C189" s="20">
        <v>45853</v>
      </c>
      <c r="D189" s="22" t="s">
        <v>287</v>
      </c>
      <c r="E189" s="23" t="s">
        <v>286</v>
      </c>
      <c r="F189" s="24"/>
      <c r="G189" s="24">
        <v>2000</v>
      </c>
      <c r="H189" s="23" t="s">
        <v>905</v>
      </c>
      <c r="I189" s="26" t="s">
        <v>897</v>
      </c>
      <c r="J189" s="3"/>
      <c r="K189" s="3"/>
      <c r="L189" s="9"/>
      <c r="M189" s="3"/>
      <c r="N189" s="3"/>
    </row>
    <row r="190" spans="1:14" ht="15.75" x14ac:dyDescent="0.25">
      <c r="A190" s="19">
        <f t="shared" si="2"/>
        <v>189</v>
      </c>
      <c r="B190" s="20">
        <v>45853</v>
      </c>
      <c r="C190" s="20">
        <v>45853</v>
      </c>
      <c r="D190" s="22" t="s">
        <v>289</v>
      </c>
      <c r="E190" s="23" t="s">
        <v>288</v>
      </c>
      <c r="F190" s="24"/>
      <c r="G190" s="24">
        <v>700</v>
      </c>
      <c r="H190" s="23" t="s">
        <v>905</v>
      </c>
      <c r="I190" s="26" t="s">
        <v>897</v>
      </c>
      <c r="J190" s="3"/>
      <c r="K190" s="3"/>
      <c r="L190" s="9"/>
      <c r="M190" s="3"/>
      <c r="N190" s="3"/>
    </row>
    <row r="191" spans="1:14" ht="15.75" x14ac:dyDescent="0.25">
      <c r="A191" s="19">
        <f t="shared" si="2"/>
        <v>190</v>
      </c>
      <c r="B191" s="20">
        <v>45854</v>
      </c>
      <c r="C191" s="20">
        <v>45854</v>
      </c>
      <c r="D191" s="22" t="s">
        <v>291</v>
      </c>
      <c r="E191" s="23" t="s">
        <v>290</v>
      </c>
      <c r="F191" s="24"/>
      <c r="G191" s="24">
        <v>14524.86</v>
      </c>
      <c r="H191" s="28" t="s">
        <v>896</v>
      </c>
      <c r="I191" s="26" t="s">
        <v>897</v>
      </c>
      <c r="J191" s="3"/>
      <c r="K191" s="3"/>
      <c r="L191" s="9"/>
      <c r="M191" s="3"/>
      <c r="N191" s="3"/>
    </row>
    <row r="192" spans="1:14" ht="15.75" x14ac:dyDescent="0.25">
      <c r="A192" s="19">
        <f t="shared" si="2"/>
        <v>191</v>
      </c>
      <c r="B192" s="20">
        <v>45855</v>
      </c>
      <c r="C192" s="20">
        <v>45855</v>
      </c>
      <c r="D192" s="22" t="s">
        <v>293</v>
      </c>
      <c r="E192" s="23" t="s">
        <v>292</v>
      </c>
      <c r="F192" s="24"/>
      <c r="G192" s="24">
        <v>14650.69</v>
      </c>
      <c r="H192" s="28" t="s">
        <v>896</v>
      </c>
      <c r="I192" s="26" t="s">
        <v>897</v>
      </c>
      <c r="J192" s="3"/>
      <c r="K192" s="3"/>
      <c r="L192" s="9"/>
      <c r="M192" s="3"/>
      <c r="N192" s="3"/>
    </row>
    <row r="193" spans="1:14" ht="15.75" x14ac:dyDescent="0.25">
      <c r="A193" s="19">
        <f t="shared" si="2"/>
        <v>192</v>
      </c>
      <c r="B193" s="20">
        <v>45855</v>
      </c>
      <c r="C193" s="20">
        <v>45855</v>
      </c>
      <c r="D193" s="22" t="s">
        <v>295</v>
      </c>
      <c r="E193" s="23" t="s">
        <v>294</v>
      </c>
      <c r="F193" s="24"/>
      <c r="G193" s="24">
        <v>20000</v>
      </c>
      <c r="H193" s="28" t="s">
        <v>909</v>
      </c>
      <c r="I193" s="26" t="s">
        <v>897</v>
      </c>
      <c r="J193" s="3"/>
      <c r="K193" s="3"/>
      <c r="L193" s="9"/>
      <c r="M193" s="3"/>
      <c r="N193" s="3"/>
    </row>
    <row r="194" spans="1:14" ht="15.75" x14ac:dyDescent="0.25">
      <c r="A194" s="19">
        <f t="shared" si="2"/>
        <v>193</v>
      </c>
      <c r="B194" s="20">
        <v>45855</v>
      </c>
      <c r="C194" s="20">
        <v>45855</v>
      </c>
      <c r="D194" s="22">
        <v>473805295</v>
      </c>
      <c r="E194" s="23" t="s">
        <v>296</v>
      </c>
      <c r="F194" s="24">
        <v>50000</v>
      </c>
      <c r="G194" s="24"/>
      <c r="H194" s="28" t="s">
        <v>903</v>
      </c>
      <c r="I194" s="26" t="s">
        <v>897</v>
      </c>
      <c r="J194" s="3"/>
      <c r="K194" s="3"/>
      <c r="L194" s="9"/>
      <c r="M194" s="3"/>
      <c r="N194" s="3"/>
    </row>
    <row r="195" spans="1:14" ht="15.75" x14ac:dyDescent="0.25">
      <c r="A195" s="19">
        <f t="shared" si="2"/>
        <v>194</v>
      </c>
      <c r="B195" s="20">
        <v>45856</v>
      </c>
      <c r="C195" s="20">
        <v>45856</v>
      </c>
      <c r="D195" s="22" t="s">
        <v>298</v>
      </c>
      <c r="E195" s="23" t="s">
        <v>297</v>
      </c>
      <c r="F195" s="24"/>
      <c r="G195" s="24">
        <v>7400</v>
      </c>
      <c r="H195" s="28" t="s">
        <v>896</v>
      </c>
      <c r="I195" s="26" t="s">
        <v>897</v>
      </c>
      <c r="J195" s="3"/>
      <c r="K195" s="3"/>
      <c r="L195" s="9"/>
      <c r="M195" s="3"/>
      <c r="N195" s="3"/>
    </row>
    <row r="196" spans="1:14" ht="15.75" x14ac:dyDescent="0.25">
      <c r="A196" s="19">
        <f t="shared" ref="A196:A259" si="3">1+A195</f>
        <v>195</v>
      </c>
      <c r="B196" s="20">
        <v>45856</v>
      </c>
      <c r="C196" s="20">
        <v>45856</v>
      </c>
      <c r="D196" s="22" t="s">
        <v>300</v>
      </c>
      <c r="E196" s="23" t="s">
        <v>299</v>
      </c>
      <c r="F196" s="24"/>
      <c r="G196" s="24">
        <v>4700</v>
      </c>
      <c r="H196" s="29" t="s">
        <v>903</v>
      </c>
      <c r="I196" s="26" t="s">
        <v>897</v>
      </c>
      <c r="J196" s="3"/>
      <c r="K196" s="3"/>
      <c r="L196" s="9"/>
      <c r="M196" s="3"/>
      <c r="N196" s="3"/>
    </row>
    <row r="197" spans="1:14" ht="15.75" x14ac:dyDescent="0.25">
      <c r="A197" s="19">
        <f t="shared" si="3"/>
        <v>196</v>
      </c>
      <c r="B197" s="20">
        <v>45857</v>
      </c>
      <c r="C197" s="20">
        <v>45857</v>
      </c>
      <c r="D197" s="22"/>
      <c r="E197" s="23" t="s">
        <v>301</v>
      </c>
      <c r="F197" s="24"/>
      <c r="G197" s="24">
        <v>3000</v>
      </c>
      <c r="H197" s="28" t="s">
        <v>903</v>
      </c>
      <c r="I197" s="26" t="s">
        <v>897</v>
      </c>
      <c r="J197" s="3"/>
      <c r="K197" s="3"/>
      <c r="L197" s="9"/>
      <c r="M197" s="3"/>
      <c r="N197" s="3"/>
    </row>
    <row r="198" spans="1:14" ht="15.75" x14ac:dyDescent="0.25">
      <c r="A198" s="19">
        <f t="shared" si="3"/>
        <v>197</v>
      </c>
      <c r="B198" s="20">
        <v>45857</v>
      </c>
      <c r="C198" s="20">
        <v>45857</v>
      </c>
      <c r="D198" s="22">
        <v>520008718461</v>
      </c>
      <c r="E198" s="23" t="s">
        <v>23</v>
      </c>
      <c r="F198" s="24"/>
      <c r="G198" s="24">
        <v>48000</v>
      </c>
      <c r="H198" s="28" t="s">
        <v>900</v>
      </c>
      <c r="I198" s="26" t="s">
        <v>897</v>
      </c>
      <c r="J198" s="3"/>
      <c r="K198" s="3"/>
      <c r="L198" s="9"/>
      <c r="M198" s="3"/>
      <c r="N198" s="3"/>
    </row>
    <row r="199" spans="1:14" ht="15.75" x14ac:dyDescent="0.25">
      <c r="A199" s="19">
        <f t="shared" si="3"/>
        <v>198</v>
      </c>
      <c r="B199" s="20">
        <v>45857</v>
      </c>
      <c r="C199" s="20">
        <v>45857</v>
      </c>
      <c r="D199" s="22">
        <v>520008718463</v>
      </c>
      <c r="E199" s="23" t="s">
        <v>23</v>
      </c>
      <c r="F199" s="24"/>
      <c r="G199" s="24">
        <v>1500</v>
      </c>
      <c r="H199" s="28" t="s">
        <v>900</v>
      </c>
      <c r="I199" s="26" t="s">
        <v>897</v>
      </c>
      <c r="J199" s="3"/>
      <c r="K199" s="3"/>
      <c r="L199" s="9"/>
      <c r="M199" s="3"/>
      <c r="N199" s="3"/>
    </row>
    <row r="200" spans="1:14" ht="15.75" x14ac:dyDescent="0.25">
      <c r="A200" s="19">
        <f t="shared" si="3"/>
        <v>199</v>
      </c>
      <c r="B200" s="20">
        <v>45857</v>
      </c>
      <c r="C200" s="20">
        <v>45857</v>
      </c>
      <c r="D200" s="22">
        <v>474286733</v>
      </c>
      <c r="E200" s="23" t="s">
        <v>302</v>
      </c>
      <c r="F200" s="24">
        <v>6240</v>
      </c>
      <c r="G200" s="24"/>
      <c r="H200" s="28" t="s">
        <v>903</v>
      </c>
      <c r="I200" s="26" t="s">
        <v>897</v>
      </c>
      <c r="J200" s="3"/>
      <c r="K200" s="3"/>
      <c r="L200" s="9"/>
      <c r="M200" s="3"/>
      <c r="N200" s="3"/>
    </row>
    <row r="201" spans="1:14" ht="15.75" x14ac:dyDescent="0.25">
      <c r="A201" s="19">
        <f t="shared" si="3"/>
        <v>200</v>
      </c>
      <c r="B201" s="20">
        <v>45857</v>
      </c>
      <c r="C201" s="20">
        <v>45857</v>
      </c>
      <c r="D201" s="22">
        <v>474286898</v>
      </c>
      <c r="E201" s="23" t="s">
        <v>137</v>
      </c>
      <c r="F201" s="24">
        <v>4080</v>
      </c>
      <c r="G201" s="24"/>
      <c r="H201" t="s">
        <v>914</v>
      </c>
      <c r="I201" s="26" t="s">
        <v>897</v>
      </c>
      <c r="J201" s="3"/>
      <c r="K201" s="3"/>
      <c r="L201" s="9"/>
      <c r="M201" s="3"/>
      <c r="N201" s="3"/>
    </row>
    <row r="202" spans="1:14" ht="15.75" x14ac:dyDescent="0.25">
      <c r="A202" s="19">
        <f t="shared" si="3"/>
        <v>201</v>
      </c>
      <c r="B202" s="20">
        <v>45857</v>
      </c>
      <c r="C202" s="20">
        <v>45857</v>
      </c>
      <c r="D202" s="22">
        <v>474287188</v>
      </c>
      <c r="E202" s="23" t="s">
        <v>273</v>
      </c>
      <c r="F202" s="24">
        <v>480</v>
      </c>
      <c r="G202" s="24"/>
      <c r="H202" s="23" t="s">
        <v>903</v>
      </c>
      <c r="I202" s="26" t="s">
        <v>897</v>
      </c>
      <c r="J202" s="3"/>
      <c r="K202" s="3"/>
      <c r="L202" s="9"/>
      <c r="M202" s="3"/>
      <c r="N202" s="3"/>
    </row>
    <row r="203" spans="1:14" ht="15.75" x14ac:dyDescent="0.25">
      <c r="A203" s="19">
        <f t="shared" si="3"/>
        <v>202</v>
      </c>
      <c r="B203" s="20">
        <v>45857</v>
      </c>
      <c r="C203" s="20">
        <v>45857</v>
      </c>
      <c r="D203" s="22" t="s">
        <v>304</v>
      </c>
      <c r="E203" s="23" t="s">
        <v>303</v>
      </c>
      <c r="F203" s="24"/>
      <c r="G203" s="24">
        <v>4750</v>
      </c>
      <c r="H203" s="23" t="s">
        <v>905</v>
      </c>
      <c r="I203" s="26" t="s">
        <v>897</v>
      </c>
      <c r="J203" s="3"/>
      <c r="K203" s="3"/>
      <c r="L203" s="9"/>
      <c r="M203" s="3"/>
      <c r="N203" s="3"/>
    </row>
    <row r="204" spans="1:14" ht="15.75" x14ac:dyDescent="0.25">
      <c r="A204" s="19">
        <f t="shared" si="3"/>
        <v>203</v>
      </c>
      <c r="B204" s="20">
        <v>45858</v>
      </c>
      <c r="C204" s="20">
        <v>45858</v>
      </c>
      <c r="D204" s="22" t="s">
        <v>306</v>
      </c>
      <c r="E204" s="23" t="s">
        <v>305</v>
      </c>
      <c r="F204" s="24"/>
      <c r="G204" s="24">
        <v>15210</v>
      </c>
      <c r="H204" s="28" t="s">
        <v>896</v>
      </c>
      <c r="I204" s="26" t="s">
        <v>897</v>
      </c>
      <c r="J204" s="3"/>
      <c r="K204" s="3"/>
      <c r="L204" s="9"/>
      <c r="M204" s="3"/>
      <c r="N204" s="3"/>
    </row>
    <row r="205" spans="1:14" ht="15.75" x14ac:dyDescent="0.25">
      <c r="A205" s="19">
        <f t="shared" si="3"/>
        <v>204</v>
      </c>
      <c r="B205" s="20">
        <v>45859</v>
      </c>
      <c r="C205" s="20">
        <v>45859</v>
      </c>
      <c r="D205" s="22">
        <v>474416387</v>
      </c>
      <c r="E205" s="23" t="s">
        <v>307</v>
      </c>
      <c r="F205" s="24">
        <v>55440</v>
      </c>
      <c r="G205" s="24"/>
      <c r="H205" s="28" t="s">
        <v>903</v>
      </c>
      <c r="I205" s="26" t="s">
        <v>897</v>
      </c>
      <c r="J205" s="3"/>
      <c r="K205" s="3"/>
      <c r="L205" s="9"/>
      <c r="M205" s="3"/>
      <c r="N205" s="3"/>
    </row>
    <row r="206" spans="1:14" ht="15.75" x14ac:dyDescent="0.25">
      <c r="A206" s="19">
        <f t="shared" si="3"/>
        <v>205</v>
      </c>
      <c r="B206" s="20">
        <v>45859</v>
      </c>
      <c r="C206" s="20">
        <v>45859</v>
      </c>
      <c r="D206" s="22" t="s">
        <v>309</v>
      </c>
      <c r="E206" s="23" t="s">
        <v>308</v>
      </c>
      <c r="F206" s="24"/>
      <c r="G206" s="24">
        <v>20000</v>
      </c>
      <c r="H206" s="28" t="s">
        <v>909</v>
      </c>
      <c r="I206" s="26" t="s">
        <v>897</v>
      </c>
      <c r="J206" s="3"/>
      <c r="K206" s="3"/>
      <c r="L206" s="9"/>
      <c r="M206" s="3"/>
      <c r="N206" s="3"/>
    </row>
    <row r="207" spans="1:14" ht="15.75" x14ac:dyDescent="0.25">
      <c r="A207" s="19">
        <f t="shared" si="3"/>
        <v>206</v>
      </c>
      <c r="B207" s="20">
        <v>45859</v>
      </c>
      <c r="C207" s="20">
        <v>45859</v>
      </c>
      <c r="D207" s="22">
        <v>474504231</v>
      </c>
      <c r="E207" s="23" t="s">
        <v>310</v>
      </c>
      <c r="F207" s="24">
        <v>25000</v>
      </c>
      <c r="G207" s="24"/>
      <c r="H207" s="28" t="s">
        <v>903</v>
      </c>
      <c r="I207" s="26" t="s">
        <v>897</v>
      </c>
      <c r="J207" s="3"/>
      <c r="K207" s="3"/>
      <c r="L207" s="9"/>
      <c r="M207" s="3"/>
      <c r="N207" s="3"/>
    </row>
    <row r="208" spans="1:14" ht="15.75" x14ac:dyDescent="0.25">
      <c r="A208" s="19">
        <f t="shared" si="3"/>
        <v>207</v>
      </c>
      <c r="B208" s="20">
        <v>45860</v>
      </c>
      <c r="C208" s="20">
        <v>45860</v>
      </c>
      <c r="D208" s="22" t="s">
        <v>312</v>
      </c>
      <c r="E208" s="23" t="s">
        <v>311</v>
      </c>
      <c r="F208" s="24"/>
      <c r="G208" s="24">
        <v>20149</v>
      </c>
      <c r="H208" s="28" t="s">
        <v>896</v>
      </c>
      <c r="I208" s="26" t="s">
        <v>897</v>
      </c>
      <c r="J208" s="3"/>
      <c r="K208" s="3"/>
      <c r="L208" s="9"/>
      <c r="M208" s="3"/>
      <c r="N208" s="3"/>
    </row>
    <row r="209" spans="1:14" ht="15.75" x14ac:dyDescent="0.25">
      <c r="A209" s="19">
        <f t="shared" si="3"/>
        <v>208</v>
      </c>
      <c r="B209" s="20">
        <v>45861</v>
      </c>
      <c r="C209" s="20">
        <v>45861</v>
      </c>
      <c r="D209" s="22" t="s">
        <v>314</v>
      </c>
      <c r="E209" s="23" t="s">
        <v>313</v>
      </c>
      <c r="F209" s="24"/>
      <c r="G209" s="24">
        <v>20350</v>
      </c>
      <c r="H209" s="28" t="s">
        <v>896</v>
      </c>
      <c r="I209" s="26" t="s">
        <v>897</v>
      </c>
      <c r="J209" s="3"/>
      <c r="K209" s="3"/>
      <c r="L209" s="9"/>
      <c r="M209" s="3"/>
      <c r="N209" s="3"/>
    </row>
    <row r="210" spans="1:14" ht="15.75" x14ac:dyDescent="0.25">
      <c r="A210" s="19">
        <f t="shared" si="3"/>
        <v>209</v>
      </c>
      <c r="B210" s="20">
        <v>45861</v>
      </c>
      <c r="C210" s="20">
        <v>45861</v>
      </c>
      <c r="D210" s="22">
        <v>474793657</v>
      </c>
      <c r="E210" s="23" t="s">
        <v>246</v>
      </c>
      <c r="F210" s="24">
        <v>32500</v>
      </c>
      <c r="G210" s="24"/>
      <c r="H210" s="23" t="s">
        <v>901</v>
      </c>
      <c r="I210" s="26" t="s">
        <v>897</v>
      </c>
      <c r="J210" s="3"/>
      <c r="K210" s="3"/>
      <c r="L210" s="9"/>
      <c r="M210" s="3"/>
      <c r="N210" s="3"/>
    </row>
    <row r="211" spans="1:14" ht="15.75" x14ac:dyDescent="0.25">
      <c r="A211" s="19">
        <f t="shared" si="3"/>
        <v>210</v>
      </c>
      <c r="B211" s="20">
        <v>45861</v>
      </c>
      <c r="C211" s="20">
        <v>45861</v>
      </c>
      <c r="D211" s="22" t="s">
        <v>316</v>
      </c>
      <c r="E211" s="23" t="s">
        <v>315</v>
      </c>
      <c r="F211" s="24"/>
      <c r="G211" s="24">
        <v>5400</v>
      </c>
      <c r="H211" s="29" t="s">
        <v>903</v>
      </c>
      <c r="I211" s="26" t="s">
        <v>897</v>
      </c>
      <c r="J211" s="3"/>
      <c r="K211" s="3"/>
      <c r="L211" s="9"/>
      <c r="M211" s="3"/>
      <c r="N211" s="3"/>
    </row>
    <row r="212" spans="1:14" ht="15.75" x14ac:dyDescent="0.25">
      <c r="A212" s="19">
        <f t="shared" si="3"/>
        <v>211</v>
      </c>
      <c r="B212" s="20">
        <v>45862</v>
      </c>
      <c r="C212" s="20">
        <v>45862</v>
      </c>
      <c r="D212" s="22" t="s">
        <v>318</v>
      </c>
      <c r="E212" s="23" t="s">
        <v>317</v>
      </c>
      <c r="F212" s="24"/>
      <c r="G212" s="24">
        <v>11449</v>
      </c>
      <c r="H212" s="28" t="s">
        <v>896</v>
      </c>
      <c r="I212" s="26" t="s">
        <v>897</v>
      </c>
      <c r="J212" s="3"/>
      <c r="K212" s="3"/>
      <c r="L212" s="9"/>
      <c r="M212" s="3"/>
      <c r="N212" s="3"/>
    </row>
    <row r="213" spans="1:14" ht="15.75" x14ac:dyDescent="0.25">
      <c r="A213" s="19">
        <f t="shared" si="3"/>
        <v>212</v>
      </c>
      <c r="B213" s="20">
        <v>45863</v>
      </c>
      <c r="C213" s="20">
        <v>45863</v>
      </c>
      <c r="D213" s="22" t="s">
        <v>320</v>
      </c>
      <c r="E213" s="23" t="s">
        <v>319</v>
      </c>
      <c r="F213" s="24"/>
      <c r="G213" s="24">
        <v>5425</v>
      </c>
      <c r="H213" s="28" t="s">
        <v>896</v>
      </c>
      <c r="I213" s="26" t="s">
        <v>897</v>
      </c>
      <c r="J213" s="3"/>
      <c r="K213" s="3"/>
      <c r="L213" s="9"/>
      <c r="M213" s="3"/>
      <c r="N213" s="3"/>
    </row>
    <row r="214" spans="1:14" ht="15.75" x14ac:dyDescent="0.25">
      <c r="A214" s="19">
        <f t="shared" si="3"/>
        <v>213</v>
      </c>
      <c r="B214" s="20">
        <v>45863</v>
      </c>
      <c r="C214" s="20">
        <v>45863</v>
      </c>
      <c r="D214" s="22" t="s">
        <v>322</v>
      </c>
      <c r="E214" s="23" t="s">
        <v>321</v>
      </c>
      <c r="F214" s="24"/>
      <c r="G214" s="24">
        <v>10498</v>
      </c>
      <c r="H214" s="23" t="s">
        <v>906</v>
      </c>
      <c r="I214" s="26" t="s">
        <v>897</v>
      </c>
      <c r="J214" s="3"/>
      <c r="K214" s="3"/>
      <c r="L214" s="9"/>
      <c r="M214" s="3"/>
      <c r="N214" s="3"/>
    </row>
    <row r="215" spans="1:14" ht="15.75" x14ac:dyDescent="0.25">
      <c r="A215" s="19">
        <f t="shared" si="3"/>
        <v>214</v>
      </c>
      <c r="B215" s="20">
        <v>45863</v>
      </c>
      <c r="C215" s="20">
        <v>45863</v>
      </c>
      <c r="D215" s="22">
        <v>475287960</v>
      </c>
      <c r="E215" s="23" t="s">
        <v>323</v>
      </c>
      <c r="F215" s="24">
        <v>24000</v>
      </c>
      <c r="G215" s="24"/>
      <c r="H215" s="28" t="s">
        <v>903</v>
      </c>
      <c r="I215" s="26" t="s">
        <v>897</v>
      </c>
      <c r="J215" s="3"/>
      <c r="K215" s="3"/>
      <c r="L215" s="9"/>
      <c r="M215" s="3"/>
      <c r="N215" s="3"/>
    </row>
    <row r="216" spans="1:14" ht="15.75" x14ac:dyDescent="0.25">
      <c r="A216" s="19">
        <f t="shared" si="3"/>
        <v>215</v>
      </c>
      <c r="B216" s="20">
        <v>45864</v>
      </c>
      <c r="C216" s="20">
        <v>45864</v>
      </c>
      <c r="D216" s="22" t="s">
        <v>325</v>
      </c>
      <c r="E216" s="23" t="s">
        <v>324</v>
      </c>
      <c r="F216" s="24"/>
      <c r="G216" s="24">
        <v>8600</v>
      </c>
      <c r="H216" s="28" t="s">
        <v>896</v>
      </c>
      <c r="I216" s="26" t="s">
        <v>897</v>
      </c>
      <c r="J216" s="3"/>
      <c r="K216" s="3"/>
      <c r="L216" s="9"/>
      <c r="M216" s="3"/>
      <c r="N216" s="3"/>
    </row>
    <row r="217" spans="1:14" ht="15.75" x14ac:dyDescent="0.25">
      <c r="A217" s="19">
        <f t="shared" si="3"/>
        <v>216</v>
      </c>
      <c r="B217" s="20">
        <v>45864</v>
      </c>
      <c r="C217" s="20">
        <v>45864</v>
      </c>
      <c r="D217" s="22" t="s">
        <v>327</v>
      </c>
      <c r="E217" s="23" t="s">
        <v>326</v>
      </c>
      <c r="F217" s="24"/>
      <c r="G217" s="24">
        <v>2500</v>
      </c>
      <c r="H217" s="29" t="s">
        <v>903</v>
      </c>
      <c r="I217" s="26" t="s">
        <v>897</v>
      </c>
      <c r="J217" s="3"/>
      <c r="K217" s="3"/>
      <c r="L217" s="9"/>
      <c r="M217" s="3"/>
      <c r="N217" s="3"/>
    </row>
    <row r="218" spans="1:14" ht="15.75" x14ac:dyDescent="0.25">
      <c r="A218" s="19">
        <f t="shared" si="3"/>
        <v>217</v>
      </c>
      <c r="B218" s="20">
        <v>45865</v>
      </c>
      <c r="C218" s="20">
        <v>45865</v>
      </c>
      <c r="D218" s="22" t="s">
        <v>329</v>
      </c>
      <c r="E218" s="23" t="s">
        <v>328</v>
      </c>
      <c r="F218" s="24"/>
      <c r="G218" s="24">
        <v>2700</v>
      </c>
      <c r="H218" s="28" t="s">
        <v>896</v>
      </c>
      <c r="I218" s="26" t="s">
        <v>897</v>
      </c>
      <c r="J218" s="3"/>
      <c r="K218" s="3"/>
      <c r="L218" s="9"/>
      <c r="M218" s="3"/>
      <c r="N218" s="3"/>
    </row>
    <row r="219" spans="1:14" ht="15.75" x14ac:dyDescent="0.25">
      <c r="A219" s="19">
        <f t="shared" si="3"/>
        <v>218</v>
      </c>
      <c r="B219" s="20">
        <v>45867</v>
      </c>
      <c r="C219" s="20">
        <v>45867</v>
      </c>
      <c r="D219" s="22" t="s">
        <v>331</v>
      </c>
      <c r="E219" s="23" t="s">
        <v>330</v>
      </c>
      <c r="F219" s="24"/>
      <c r="G219" s="24">
        <v>21174</v>
      </c>
      <c r="H219" s="28" t="s">
        <v>896</v>
      </c>
      <c r="I219" s="26" t="s">
        <v>897</v>
      </c>
      <c r="J219" s="3"/>
      <c r="K219" s="3"/>
      <c r="L219" s="9"/>
      <c r="M219" s="3"/>
      <c r="N219" s="3"/>
    </row>
    <row r="220" spans="1:14" ht="15.75" x14ac:dyDescent="0.25">
      <c r="A220" s="19">
        <f t="shared" si="3"/>
        <v>219</v>
      </c>
      <c r="B220" s="20">
        <v>45868</v>
      </c>
      <c r="C220" s="20">
        <v>45868</v>
      </c>
      <c r="D220" s="22" t="s">
        <v>333</v>
      </c>
      <c r="E220" s="23" t="s">
        <v>332</v>
      </c>
      <c r="F220" s="24"/>
      <c r="G220" s="24">
        <v>8800</v>
      </c>
      <c r="H220" s="28" t="s">
        <v>896</v>
      </c>
      <c r="I220" s="26" t="s">
        <v>897</v>
      </c>
      <c r="J220" s="3"/>
      <c r="K220" s="3"/>
      <c r="L220" s="9"/>
      <c r="M220" s="3"/>
      <c r="N220" s="3"/>
    </row>
    <row r="221" spans="1:14" ht="15.75" x14ac:dyDescent="0.25">
      <c r="A221" s="19">
        <f t="shared" si="3"/>
        <v>220</v>
      </c>
      <c r="B221" s="20">
        <v>45869</v>
      </c>
      <c r="C221" s="20">
        <v>45869</v>
      </c>
      <c r="D221" s="22" t="s">
        <v>335</v>
      </c>
      <c r="E221" s="23" t="s">
        <v>334</v>
      </c>
      <c r="F221" s="24"/>
      <c r="G221" s="24">
        <v>3000</v>
      </c>
      <c r="H221" s="28" t="s">
        <v>896</v>
      </c>
      <c r="I221" s="26" t="s">
        <v>897</v>
      </c>
      <c r="J221" s="3"/>
      <c r="K221" s="3"/>
      <c r="L221" s="9"/>
      <c r="M221" s="3"/>
      <c r="N221" s="3"/>
    </row>
    <row r="222" spans="1:14" ht="15.75" x14ac:dyDescent="0.25">
      <c r="A222" s="19">
        <f t="shared" si="3"/>
        <v>221</v>
      </c>
      <c r="B222" s="20">
        <v>45869</v>
      </c>
      <c r="C222" s="20">
        <v>45869</v>
      </c>
      <c r="D222" s="22">
        <v>476153515</v>
      </c>
      <c r="E222" s="23" t="s">
        <v>336</v>
      </c>
      <c r="F222" s="24">
        <v>6000</v>
      </c>
      <c r="G222" s="24"/>
      <c r="H222" s="28" t="s">
        <v>903</v>
      </c>
      <c r="I222" s="26" t="s">
        <v>897</v>
      </c>
      <c r="J222" s="3"/>
      <c r="K222" s="3"/>
      <c r="L222" s="9"/>
      <c r="M222" s="3"/>
      <c r="N222" s="3"/>
    </row>
    <row r="223" spans="1:14" ht="15.75" x14ac:dyDescent="0.25">
      <c r="A223" s="19">
        <f t="shared" si="3"/>
        <v>222</v>
      </c>
      <c r="B223" s="20">
        <v>45869</v>
      </c>
      <c r="C223" s="20">
        <v>45869</v>
      </c>
      <c r="D223" s="22">
        <v>476190005</v>
      </c>
      <c r="E223" s="23" t="s">
        <v>337</v>
      </c>
      <c r="F223" s="24">
        <v>70000</v>
      </c>
      <c r="G223" s="24"/>
      <c r="H223" s="28" t="s">
        <v>903</v>
      </c>
      <c r="I223" s="26" t="s">
        <v>897</v>
      </c>
      <c r="J223" s="3"/>
      <c r="K223" s="3"/>
      <c r="L223" s="9"/>
      <c r="M223" s="3"/>
      <c r="N223" s="3"/>
    </row>
    <row r="224" spans="1:14" ht="15.75" x14ac:dyDescent="0.25">
      <c r="A224" s="19">
        <f t="shared" si="3"/>
        <v>223</v>
      </c>
      <c r="B224" s="20">
        <v>45869</v>
      </c>
      <c r="C224" s="20">
        <v>45869</v>
      </c>
      <c r="D224" s="22" t="s">
        <v>339</v>
      </c>
      <c r="E224" s="23" t="s">
        <v>338</v>
      </c>
      <c r="F224" s="24"/>
      <c r="G224" s="24">
        <v>4520.25</v>
      </c>
      <c r="H224" s="23" t="s">
        <v>920</v>
      </c>
      <c r="I224" s="26" t="s">
        <v>897</v>
      </c>
      <c r="J224" s="3"/>
      <c r="K224" s="3"/>
      <c r="L224" s="9"/>
      <c r="M224" s="3"/>
      <c r="N224" s="3"/>
    </row>
    <row r="225" spans="1:14" ht="15.75" x14ac:dyDescent="0.25">
      <c r="A225" s="19">
        <f t="shared" si="3"/>
        <v>224</v>
      </c>
      <c r="B225" s="20">
        <v>45870</v>
      </c>
      <c r="C225" s="20">
        <v>45870</v>
      </c>
      <c r="D225" s="22" t="s">
        <v>341</v>
      </c>
      <c r="E225" s="23" t="s">
        <v>340</v>
      </c>
      <c r="F225" s="24"/>
      <c r="G225" s="24">
        <v>4700</v>
      </c>
      <c r="H225" s="28" t="s">
        <v>896</v>
      </c>
      <c r="I225" s="26" t="s">
        <v>897</v>
      </c>
      <c r="J225" s="3"/>
      <c r="K225" s="3"/>
      <c r="L225" s="9"/>
      <c r="M225" s="3"/>
      <c r="N225" s="3"/>
    </row>
    <row r="226" spans="1:14" ht="15.75" x14ac:dyDescent="0.25">
      <c r="A226" s="19">
        <f t="shared" si="3"/>
        <v>225</v>
      </c>
      <c r="B226" s="20">
        <v>45870</v>
      </c>
      <c r="C226" s="20">
        <v>45870</v>
      </c>
      <c r="D226" s="22" t="s">
        <v>343</v>
      </c>
      <c r="E226" s="23" t="s">
        <v>342</v>
      </c>
      <c r="F226" s="24"/>
      <c r="G226" s="24">
        <v>2500</v>
      </c>
      <c r="H226" s="29" t="s">
        <v>903</v>
      </c>
      <c r="I226" s="26" t="s">
        <v>897</v>
      </c>
      <c r="J226" s="3"/>
      <c r="K226" s="3"/>
      <c r="L226" s="9"/>
      <c r="M226" s="3"/>
      <c r="N226" s="3"/>
    </row>
    <row r="227" spans="1:14" ht="15.75" x14ac:dyDescent="0.25">
      <c r="A227" s="19">
        <f t="shared" si="3"/>
        <v>226</v>
      </c>
      <c r="B227" s="20">
        <v>45871</v>
      </c>
      <c r="C227" s="20">
        <v>45871</v>
      </c>
      <c r="D227" s="22" t="s">
        <v>345</v>
      </c>
      <c r="E227" s="23" t="s">
        <v>344</v>
      </c>
      <c r="F227" s="24"/>
      <c r="G227" s="24">
        <v>6500</v>
      </c>
      <c r="H227" s="28" t="s">
        <v>896</v>
      </c>
      <c r="I227" s="26" t="s">
        <v>897</v>
      </c>
      <c r="J227" s="3"/>
      <c r="K227" s="3"/>
      <c r="L227" s="9"/>
      <c r="M227" s="3"/>
      <c r="N227" s="3"/>
    </row>
    <row r="228" spans="1:14" ht="15.75" x14ac:dyDescent="0.25">
      <c r="A228" s="19">
        <f t="shared" si="3"/>
        <v>227</v>
      </c>
      <c r="B228" s="20">
        <v>45872</v>
      </c>
      <c r="C228" s="20">
        <v>45872</v>
      </c>
      <c r="D228" s="22" t="s">
        <v>347</v>
      </c>
      <c r="E228" s="23" t="s">
        <v>346</v>
      </c>
      <c r="F228" s="24"/>
      <c r="G228" s="24">
        <v>16860</v>
      </c>
      <c r="H228" s="28" t="s">
        <v>896</v>
      </c>
      <c r="I228" s="26" t="s">
        <v>897</v>
      </c>
      <c r="J228" s="3"/>
      <c r="K228" s="3"/>
      <c r="L228" s="9"/>
      <c r="M228" s="3"/>
      <c r="N228" s="3"/>
    </row>
    <row r="229" spans="1:14" ht="15.75" x14ac:dyDescent="0.25">
      <c r="A229" s="19">
        <f t="shared" si="3"/>
        <v>228</v>
      </c>
      <c r="B229" s="20">
        <v>45874</v>
      </c>
      <c r="C229" s="20">
        <v>45874</v>
      </c>
      <c r="D229" s="22" t="s">
        <v>349</v>
      </c>
      <c r="E229" s="23" t="s">
        <v>348</v>
      </c>
      <c r="F229" s="24"/>
      <c r="G229" s="24">
        <v>22849</v>
      </c>
      <c r="H229" s="28" t="s">
        <v>896</v>
      </c>
      <c r="I229" s="26" t="s">
        <v>897</v>
      </c>
      <c r="J229" s="3"/>
      <c r="K229" s="3"/>
      <c r="L229" s="9"/>
      <c r="M229" s="3"/>
      <c r="N229" s="3"/>
    </row>
    <row r="230" spans="1:14" ht="15.75" x14ac:dyDescent="0.25">
      <c r="A230" s="19">
        <f t="shared" si="3"/>
        <v>229</v>
      </c>
      <c r="B230" s="20">
        <v>45874</v>
      </c>
      <c r="C230" s="20">
        <v>45874</v>
      </c>
      <c r="D230" s="22">
        <v>521707721516</v>
      </c>
      <c r="E230" s="23" t="s">
        <v>23</v>
      </c>
      <c r="F230" s="24"/>
      <c r="G230" s="24">
        <v>31000</v>
      </c>
      <c r="H230" s="28" t="s">
        <v>900</v>
      </c>
      <c r="I230" s="26" t="s">
        <v>897</v>
      </c>
      <c r="J230" s="3"/>
      <c r="K230" s="3"/>
      <c r="L230" s="9"/>
      <c r="M230" s="3"/>
      <c r="N230" s="3"/>
    </row>
    <row r="231" spans="1:14" ht="15.75" x14ac:dyDescent="0.25">
      <c r="A231" s="19">
        <f t="shared" si="3"/>
        <v>230</v>
      </c>
      <c r="B231" s="20">
        <v>45875</v>
      </c>
      <c r="C231" s="20">
        <v>45875</v>
      </c>
      <c r="D231" s="22" t="s">
        <v>351</v>
      </c>
      <c r="E231" s="23" t="s">
        <v>350</v>
      </c>
      <c r="F231" s="24"/>
      <c r="G231" s="24">
        <v>9946.9</v>
      </c>
      <c r="H231" s="29" t="s">
        <v>896</v>
      </c>
      <c r="I231" s="26" t="s">
        <v>897</v>
      </c>
      <c r="J231" s="3"/>
      <c r="K231" s="3"/>
      <c r="L231" s="9"/>
      <c r="M231" s="3"/>
      <c r="N231" s="3"/>
    </row>
    <row r="232" spans="1:14" ht="15.75" x14ac:dyDescent="0.25">
      <c r="A232" s="19">
        <f t="shared" si="3"/>
        <v>231</v>
      </c>
      <c r="B232" s="20">
        <v>45875</v>
      </c>
      <c r="C232" s="20">
        <v>45875</v>
      </c>
      <c r="D232" s="22">
        <v>477456911</v>
      </c>
      <c r="E232" s="23" t="s">
        <v>352</v>
      </c>
      <c r="F232" s="24">
        <v>25000</v>
      </c>
      <c r="G232" s="24"/>
      <c r="H232" s="28" t="s">
        <v>904</v>
      </c>
      <c r="I232" s="26" t="s">
        <v>897</v>
      </c>
      <c r="J232" s="3"/>
      <c r="K232" s="3"/>
      <c r="L232" s="9"/>
      <c r="M232" s="3"/>
      <c r="N232" s="3"/>
    </row>
    <row r="233" spans="1:14" ht="15.75" x14ac:dyDescent="0.25">
      <c r="A233" s="19">
        <f t="shared" si="3"/>
        <v>232</v>
      </c>
      <c r="B233" s="20">
        <v>45876</v>
      </c>
      <c r="C233" s="20">
        <v>45876</v>
      </c>
      <c r="D233" s="22" t="s">
        <v>354</v>
      </c>
      <c r="E233" s="23" t="s">
        <v>353</v>
      </c>
      <c r="F233" s="24"/>
      <c r="G233" s="24">
        <v>13274</v>
      </c>
      <c r="H233" s="29" t="s">
        <v>896</v>
      </c>
      <c r="I233" s="26" t="s">
        <v>897</v>
      </c>
      <c r="J233" s="3"/>
      <c r="K233" s="3"/>
      <c r="L233" s="9"/>
      <c r="M233" s="3"/>
      <c r="N233" s="3"/>
    </row>
    <row r="234" spans="1:14" ht="15.75" x14ac:dyDescent="0.25">
      <c r="A234" s="19">
        <f t="shared" si="3"/>
        <v>233</v>
      </c>
      <c r="B234" s="20">
        <v>45876</v>
      </c>
      <c r="C234" s="20">
        <v>45876</v>
      </c>
      <c r="D234" s="22" t="s">
        <v>356</v>
      </c>
      <c r="E234" s="23" t="s">
        <v>355</v>
      </c>
      <c r="F234" s="24"/>
      <c r="G234" s="24">
        <v>4250</v>
      </c>
      <c r="H234" s="23" t="s">
        <v>905</v>
      </c>
      <c r="I234" s="26" t="s">
        <v>897</v>
      </c>
      <c r="J234" s="3"/>
      <c r="K234" s="3"/>
      <c r="L234" s="9"/>
      <c r="M234" s="3"/>
      <c r="N234" s="3"/>
    </row>
    <row r="235" spans="1:14" ht="15.75" x14ac:dyDescent="0.25">
      <c r="A235" s="19">
        <f t="shared" si="3"/>
        <v>234</v>
      </c>
      <c r="B235" s="20">
        <v>45877</v>
      </c>
      <c r="C235" s="20">
        <v>45877</v>
      </c>
      <c r="D235" s="22" t="s">
        <v>358</v>
      </c>
      <c r="E235" s="23" t="s">
        <v>357</v>
      </c>
      <c r="F235" s="24"/>
      <c r="G235" s="24">
        <v>21413.49</v>
      </c>
      <c r="H235" s="29" t="s">
        <v>896</v>
      </c>
      <c r="I235" s="26" t="s">
        <v>897</v>
      </c>
      <c r="J235" s="3"/>
      <c r="K235" s="3"/>
      <c r="L235" s="9"/>
      <c r="M235" s="3"/>
      <c r="N235" s="3"/>
    </row>
    <row r="236" spans="1:14" ht="15.75" x14ac:dyDescent="0.25">
      <c r="A236" s="19">
        <f t="shared" si="3"/>
        <v>235</v>
      </c>
      <c r="B236" s="20">
        <v>45877</v>
      </c>
      <c r="C236" s="20">
        <v>45877</v>
      </c>
      <c r="D236" s="22">
        <v>478180227</v>
      </c>
      <c r="E236" s="23" t="s">
        <v>64</v>
      </c>
      <c r="F236" s="24">
        <v>10000</v>
      </c>
      <c r="G236" s="24"/>
      <c r="H236" s="28" t="s">
        <v>909</v>
      </c>
      <c r="I236" s="26" t="s">
        <v>897</v>
      </c>
      <c r="J236" s="3"/>
      <c r="K236" s="3"/>
      <c r="L236" s="9"/>
      <c r="M236" s="3"/>
      <c r="N236" s="3"/>
    </row>
    <row r="237" spans="1:14" ht="15.75" x14ac:dyDescent="0.25">
      <c r="A237" s="19">
        <f t="shared" si="3"/>
        <v>236</v>
      </c>
      <c r="B237" s="20">
        <v>45878</v>
      </c>
      <c r="C237" s="20">
        <v>45878</v>
      </c>
      <c r="D237" s="22" t="s">
        <v>360</v>
      </c>
      <c r="E237" s="23" t="s">
        <v>359</v>
      </c>
      <c r="F237" s="24"/>
      <c r="G237" s="24">
        <v>2700</v>
      </c>
      <c r="H237" s="29" t="s">
        <v>896</v>
      </c>
      <c r="I237" s="26" t="s">
        <v>897</v>
      </c>
      <c r="J237" s="3"/>
      <c r="K237" s="3"/>
      <c r="L237" s="9"/>
      <c r="M237" s="3"/>
      <c r="N237" s="3"/>
    </row>
    <row r="238" spans="1:14" ht="15.75" x14ac:dyDescent="0.25">
      <c r="A238" s="19">
        <f t="shared" si="3"/>
        <v>237</v>
      </c>
      <c r="B238" s="20">
        <v>45879</v>
      </c>
      <c r="C238" s="20">
        <v>45879</v>
      </c>
      <c r="D238" s="22" t="s">
        <v>362</v>
      </c>
      <c r="E238" s="23" t="s">
        <v>361</v>
      </c>
      <c r="F238" s="24"/>
      <c r="G238" s="24">
        <v>2850</v>
      </c>
      <c r="H238" s="29" t="s">
        <v>896</v>
      </c>
      <c r="I238" s="26" t="s">
        <v>897</v>
      </c>
      <c r="J238" s="3"/>
      <c r="K238" s="3"/>
      <c r="L238" s="9"/>
      <c r="M238" s="3"/>
      <c r="N238" s="3"/>
    </row>
    <row r="239" spans="1:14" ht="15.75" x14ac:dyDescent="0.25">
      <c r="A239" s="19">
        <f t="shared" si="3"/>
        <v>238</v>
      </c>
      <c r="B239" s="20">
        <v>45880</v>
      </c>
      <c r="C239" s="20">
        <v>45880</v>
      </c>
      <c r="D239" s="22" t="s">
        <v>364</v>
      </c>
      <c r="E239" s="23" t="s">
        <v>363</v>
      </c>
      <c r="F239" s="24"/>
      <c r="G239" s="24">
        <v>3000</v>
      </c>
      <c r="H239" s="29" t="s">
        <v>896</v>
      </c>
      <c r="I239" s="26" t="s">
        <v>897</v>
      </c>
      <c r="J239" s="3"/>
      <c r="K239" s="3"/>
      <c r="L239" s="9"/>
      <c r="M239" s="3"/>
      <c r="N239" s="3"/>
    </row>
    <row r="240" spans="1:14" ht="15.75" x14ac:dyDescent="0.25">
      <c r="A240" s="19">
        <f t="shared" si="3"/>
        <v>239</v>
      </c>
      <c r="B240" s="20">
        <v>45880</v>
      </c>
      <c r="C240" s="20">
        <v>45880</v>
      </c>
      <c r="D240" s="22">
        <v>478405426</v>
      </c>
      <c r="E240" s="23" t="s">
        <v>136</v>
      </c>
      <c r="F240" s="24">
        <v>25320</v>
      </c>
      <c r="G240" s="24"/>
      <c r="H240" t="s">
        <v>913</v>
      </c>
      <c r="I240" s="26" t="s">
        <v>897</v>
      </c>
      <c r="J240" s="3"/>
      <c r="K240" s="3"/>
      <c r="L240" s="9"/>
      <c r="M240" s="3"/>
      <c r="N240" s="3"/>
    </row>
    <row r="241" spans="1:14" ht="15.75" x14ac:dyDescent="0.25">
      <c r="A241" s="19">
        <f t="shared" si="3"/>
        <v>240</v>
      </c>
      <c r="B241" s="20">
        <v>45880</v>
      </c>
      <c r="C241" s="20">
        <v>45880</v>
      </c>
      <c r="D241" s="22">
        <v>478405656</v>
      </c>
      <c r="E241" s="23" t="s">
        <v>137</v>
      </c>
      <c r="F241" s="24">
        <v>25320</v>
      </c>
      <c r="G241" s="24"/>
      <c r="H241" t="s">
        <v>914</v>
      </c>
      <c r="I241" s="26" t="s">
        <v>897</v>
      </c>
      <c r="J241" s="3"/>
      <c r="K241" s="3"/>
      <c r="L241" s="9"/>
      <c r="M241" s="3"/>
      <c r="N241" s="3"/>
    </row>
    <row r="242" spans="1:14" ht="15.75" x14ac:dyDescent="0.25">
      <c r="A242" s="19">
        <f t="shared" si="3"/>
        <v>241</v>
      </c>
      <c r="B242" s="20">
        <v>45880</v>
      </c>
      <c r="C242" s="20">
        <v>45880</v>
      </c>
      <c r="D242" s="22">
        <v>478406505</v>
      </c>
      <c r="E242" s="23" t="s">
        <v>273</v>
      </c>
      <c r="F242" s="24">
        <v>14666</v>
      </c>
      <c r="G242" s="24"/>
      <c r="H242" s="23" t="s">
        <v>903</v>
      </c>
      <c r="I242" s="26" t="s">
        <v>897</v>
      </c>
      <c r="J242" s="3"/>
      <c r="K242" s="3"/>
      <c r="L242" s="9"/>
      <c r="M242" s="3"/>
      <c r="N242" s="3"/>
    </row>
    <row r="243" spans="1:14" ht="15.75" x14ac:dyDescent="0.25">
      <c r="A243" s="19">
        <f t="shared" si="3"/>
        <v>242</v>
      </c>
      <c r="B243" s="20">
        <v>45881</v>
      </c>
      <c r="C243" s="20">
        <v>45881</v>
      </c>
      <c r="D243" s="22" t="s">
        <v>366</v>
      </c>
      <c r="E243" s="23" t="s">
        <v>365</v>
      </c>
      <c r="F243" s="24"/>
      <c r="G243" s="24">
        <v>8894.35</v>
      </c>
      <c r="H243" s="29" t="s">
        <v>896</v>
      </c>
      <c r="I243" s="26" t="s">
        <v>897</v>
      </c>
      <c r="J243" s="3"/>
      <c r="K243" s="3"/>
      <c r="L243" s="9"/>
      <c r="M243" s="3"/>
      <c r="N243" s="3"/>
    </row>
    <row r="244" spans="1:14" ht="15.75" x14ac:dyDescent="0.25">
      <c r="A244" s="19">
        <f t="shared" si="3"/>
        <v>243</v>
      </c>
      <c r="B244" s="20">
        <v>45882</v>
      </c>
      <c r="C244" s="20">
        <v>45882</v>
      </c>
      <c r="D244" s="22" t="s">
        <v>368</v>
      </c>
      <c r="E244" s="23" t="s">
        <v>367</v>
      </c>
      <c r="F244" s="24"/>
      <c r="G244" s="24">
        <v>12830</v>
      </c>
      <c r="H244" s="29" t="s">
        <v>896</v>
      </c>
      <c r="I244" s="26" t="s">
        <v>897</v>
      </c>
      <c r="J244" s="3"/>
      <c r="K244" s="3"/>
      <c r="L244" s="9"/>
      <c r="M244" s="3"/>
      <c r="N244" s="3"/>
    </row>
    <row r="245" spans="1:14" ht="15.75" x14ac:dyDescent="0.25">
      <c r="A245" s="19">
        <f t="shared" si="3"/>
        <v>244</v>
      </c>
      <c r="B245" s="20">
        <v>45882</v>
      </c>
      <c r="C245" s="20">
        <v>45882</v>
      </c>
      <c r="D245" s="22" t="s">
        <v>370</v>
      </c>
      <c r="E245" s="23" t="s">
        <v>369</v>
      </c>
      <c r="F245" s="24">
        <v>3400</v>
      </c>
      <c r="G245" s="24"/>
      <c r="H245" s="28" t="s">
        <v>907</v>
      </c>
      <c r="I245" s="26" t="s">
        <v>897</v>
      </c>
      <c r="J245" s="3"/>
      <c r="K245" s="3"/>
      <c r="L245" s="9"/>
      <c r="M245" s="3"/>
      <c r="N245" s="3"/>
    </row>
    <row r="246" spans="1:14" ht="15.75" x14ac:dyDescent="0.25">
      <c r="A246" s="19">
        <f t="shared" si="3"/>
        <v>245</v>
      </c>
      <c r="B246" s="20">
        <v>45883</v>
      </c>
      <c r="C246" s="20">
        <v>45883</v>
      </c>
      <c r="D246" s="22" t="s">
        <v>372</v>
      </c>
      <c r="E246" s="23" t="s">
        <v>371</v>
      </c>
      <c r="F246" s="24"/>
      <c r="G246" s="24">
        <v>7000</v>
      </c>
      <c r="H246" s="29" t="s">
        <v>896</v>
      </c>
      <c r="I246" s="26" t="s">
        <v>897</v>
      </c>
      <c r="J246" s="3"/>
      <c r="K246" s="3"/>
      <c r="L246" s="9"/>
      <c r="M246" s="3"/>
      <c r="N246" s="3"/>
    </row>
    <row r="247" spans="1:14" ht="15.75" x14ac:dyDescent="0.25">
      <c r="A247" s="19">
        <f t="shared" si="3"/>
        <v>246</v>
      </c>
      <c r="B247" s="20">
        <v>45883</v>
      </c>
      <c r="C247" s="20">
        <v>45883</v>
      </c>
      <c r="D247" s="22">
        <v>479032537</v>
      </c>
      <c r="E247" s="23" t="s">
        <v>373</v>
      </c>
      <c r="F247" s="24">
        <v>20465</v>
      </c>
      <c r="G247" s="24"/>
      <c r="H247" s="23" t="s">
        <v>921</v>
      </c>
      <c r="I247" s="26" t="s">
        <v>897</v>
      </c>
      <c r="J247" s="3"/>
      <c r="K247" s="3"/>
      <c r="L247" s="9"/>
      <c r="M247" s="3"/>
      <c r="N247" s="3"/>
    </row>
    <row r="248" spans="1:14" ht="15.75" x14ac:dyDescent="0.25">
      <c r="A248" s="19">
        <f t="shared" si="3"/>
        <v>247</v>
      </c>
      <c r="B248" s="20">
        <v>45884</v>
      </c>
      <c r="C248" s="20">
        <v>45884</v>
      </c>
      <c r="D248" s="22" t="s">
        <v>375</v>
      </c>
      <c r="E248" s="23" t="s">
        <v>374</v>
      </c>
      <c r="F248" s="24"/>
      <c r="G248" s="24">
        <v>19669.349999999999</v>
      </c>
      <c r="H248" s="29" t="s">
        <v>896</v>
      </c>
      <c r="I248" s="26" t="s">
        <v>897</v>
      </c>
      <c r="J248" s="3"/>
      <c r="K248" s="3"/>
      <c r="L248" s="9"/>
      <c r="M248" s="3"/>
      <c r="N248" s="3"/>
    </row>
    <row r="249" spans="1:14" ht="15.75" x14ac:dyDescent="0.25">
      <c r="A249" s="19">
        <f t="shared" si="3"/>
        <v>248</v>
      </c>
      <c r="B249" s="20">
        <v>45884</v>
      </c>
      <c r="C249" s="20">
        <v>45884</v>
      </c>
      <c r="D249" s="22" t="s">
        <v>377</v>
      </c>
      <c r="E249" s="23" t="s">
        <v>376</v>
      </c>
      <c r="F249" s="24"/>
      <c r="G249" s="24">
        <v>56900</v>
      </c>
      <c r="H249" s="23" t="s">
        <v>905</v>
      </c>
      <c r="I249" s="26" t="s">
        <v>897</v>
      </c>
      <c r="J249" s="3"/>
      <c r="K249" s="3"/>
      <c r="L249" s="9"/>
      <c r="M249" s="3"/>
      <c r="N249" s="3"/>
    </row>
    <row r="250" spans="1:14" ht="15.75" x14ac:dyDescent="0.25">
      <c r="A250" s="19">
        <f t="shared" si="3"/>
        <v>249</v>
      </c>
      <c r="B250" s="20">
        <v>45884</v>
      </c>
      <c r="C250" s="20">
        <v>45884</v>
      </c>
      <c r="D250" s="22" t="s">
        <v>379</v>
      </c>
      <c r="E250" s="23" t="s">
        <v>378</v>
      </c>
      <c r="F250" s="24">
        <v>3000</v>
      </c>
      <c r="G250" s="24"/>
      <c r="H250" s="28" t="s">
        <v>907</v>
      </c>
      <c r="I250" s="26" t="s">
        <v>897</v>
      </c>
      <c r="J250" s="3"/>
      <c r="K250" s="3"/>
      <c r="L250" s="9"/>
      <c r="M250" s="3"/>
      <c r="N250" s="3"/>
    </row>
    <row r="251" spans="1:14" ht="15.75" x14ac:dyDescent="0.25">
      <c r="A251" s="19">
        <f t="shared" si="3"/>
        <v>250</v>
      </c>
      <c r="B251" s="20">
        <v>45885</v>
      </c>
      <c r="C251" s="20">
        <v>45885</v>
      </c>
      <c r="D251" s="22">
        <v>479332508</v>
      </c>
      <c r="E251" s="23" t="s">
        <v>380</v>
      </c>
      <c r="F251" s="24">
        <v>25000</v>
      </c>
      <c r="G251" s="24"/>
      <c r="H251" s="23" t="s">
        <v>899</v>
      </c>
      <c r="I251" s="26" t="s">
        <v>897</v>
      </c>
      <c r="J251" s="3"/>
      <c r="K251" s="3"/>
      <c r="L251" s="9"/>
      <c r="M251" s="3"/>
      <c r="N251" s="3"/>
    </row>
    <row r="252" spans="1:14" ht="15.75" x14ac:dyDescent="0.25">
      <c r="A252" s="19">
        <f t="shared" si="3"/>
        <v>251</v>
      </c>
      <c r="B252" s="20">
        <v>45886</v>
      </c>
      <c r="C252" s="20">
        <v>45886</v>
      </c>
      <c r="D252" s="22" t="s">
        <v>382</v>
      </c>
      <c r="E252" s="23" t="s">
        <v>381</v>
      </c>
      <c r="F252" s="24"/>
      <c r="G252" s="24">
        <v>18499</v>
      </c>
      <c r="H252" s="29" t="s">
        <v>896</v>
      </c>
      <c r="I252" s="26" t="s">
        <v>897</v>
      </c>
      <c r="J252" s="3"/>
      <c r="K252" s="3"/>
      <c r="L252" s="9"/>
      <c r="M252" s="3"/>
      <c r="N252" s="3"/>
    </row>
    <row r="253" spans="1:14" ht="15.75" x14ac:dyDescent="0.25">
      <c r="A253" s="19">
        <f t="shared" si="3"/>
        <v>252</v>
      </c>
      <c r="B253" s="20">
        <v>45886</v>
      </c>
      <c r="C253" s="20">
        <v>45886</v>
      </c>
      <c r="D253" s="22">
        <v>479455505</v>
      </c>
      <c r="E253" s="23" t="s">
        <v>380</v>
      </c>
      <c r="F253" s="24">
        <v>65000</v>
      </c>
      <c r="G253" s="24"/>
      <c r="H253" s="23" t="s">
        <v>899</v>
      </c>
      <c r="I253" s="26" t="s">
        <v>897</v>
      </c>
      <c r="J253" s="3"/>
      <c r="K253" s="3"/>
      <c r="L253" s="9"/>
      <c r="M253" s="3"/>
      <c r="N253" s="3"/>
    </row>
    <row r="254" spans="1:14" ht="15.75" x14ac:dyDescent="0.25">
      <c r="A254" s="19">
        <f t="shared" si="3"/>
        <v>253</v>
      </c>
      <c r="B254" s="20">
        <v>45887</v>
      </c>
      <c r="C254" s="20">
        <v>45887</v>
      </c>
      <c r="D254" s="22" t="s">
        <v>384</v>
      </c>
      <c r="E254" s="23" t="s">
        <v>383</v>
      </c>
      <c r="F254" s="24"/>
      <c r="G254" s="24">
        <v>2000</v>
      </c>
      <c r="H254" s="23" t="s">
        <v>922</v>
      </c>
      <c r="I254" s="26" t="s">
        <v>897</v>
      </c>
      <c r="J254" s="3"/>
      <c r="K254" s="3"/>
      <c r="L254" s="9"/>
      <c r="M254" s="3"/>
      <c r="N254" s="3"/>
    </row>
    <row r="255" spans="1:14" ht="15.75" x14ac:dyDescent="0.25">
      <c r="A255" s="19">
        <f t="shared" si="3"/>
        <v>254</v>
      </c>
      <c r="B255" s="20">
        <v>45887</v>
      </c>
      <c r="C255" s="20">
        <v>45887</v>
      </c>
      <c r="D255" s="22" t="s">
        <v>386</v>
      </c>
      <c r="E255" s="23" t="s">
        <v>385</v>
      </c>
      <c r="F255" s="24"/>
      <c r="G255" s="24">
        <v>4500</v>
      </c>
      <c r="H255" s="29" t="s">
        <v>903</v>
      </c>
      <c r="I255" s="26" t="s">
        <v>897</v>
      </c>
      <c r="J255" s="3"/>
      <c r="K255" s="3"/>
      <c r="L255" s="9"/>
      <c r="M255" s="3"/>
      <c r="N255" s="3"/>
    </row>
    <row r="256" spans="1:14" ht="15.75" x14ac:dyDescent="0.25">
      <c r="A256" s="19">
        <f t="shared" si="3"/>
        <v>255</v>
      </c>
      <c r="B256" s="20">
        <v>45887</v>
      </c>
      <c r="C256" s="20">
        <v>45887</v>
      </c>
      <c r="D256" s="22">
        <v>479618545</v>
      </c>
      <c r="E256" s="23" t="s">
        <v>64</v>
      </c>
      <c r="F256" s="24">
        <v>20000</v>
      </c>
      <c r="G256" s="24"/>
      <c r="H256" s="28" t="s">
        <v>909</v>
      </c>
      <c r="I256" s="26" t="s">
        <v>897</v>
      </c>
      <c r="J256" s="3"/>
      <c r="K256" s="3"/>
      <c r="L256" s="9"/>
      <c r="M256" s="3"/>
      <c r="N256" s="3"/>
    </row>
    <row r="257" spans="1:14" ht="15.75" x14ac:dyDescent="0.25">
      <c r="A257" s="19">
        <f t="shared" si="3"/>
        <v>256</v>
      </c>
      <c r="B257" s="20">
        <v>45888</v>
      </c>
      <c r="C257" s="20">
        <v>45888</v>
      </c>
      <c r="D257" s="22" t="s">
        <v>388</v>
      </c>
      <c r="E257" s="23" t="s">
        <v>387</v>
      </c>
      <c r="F257" s="24"/>
      <c r="G257" s="24">
        <v>20600</v>
      </c>
      <c r="H257" s="29" t="s">
        <v>896</v>
      </c>
      <c r="I257" s="26" t="s">
        <v>897</v>
      </c>
      <c r="J257" s="3"/>
      <c r="K257" s="3"/>
      <c r="L257" s="9"/>
      <c r="M257" s="3"/>
      <c r="N257" s="3"/>
    </row>
    <row r="258" spans="1:14" ht="15.75" x14ac:dyDescent="0.25">
      <c r="A258" s="19">
        <f t="shared" si="3"/>
        <v>257</v>
      </c>
      <c r="B258" s="20">
        <v>45889</v>
      </c>
      <c r="C258" s="20">
        <v>45889</v>
      </c>
      <c r="D258" s="22" t="s">
        <v>390</v>
      </c>
      <c r="E258" s="23" t="s">
        <v>389</v>
      </c>
      <c r="F258" s="24"/>
      <c r="G258" s="24">
        <v>11249</v>
      </c>
      <c r="H258" s="29" t="s">
        <v>896</v>
      </c>
      <c r="I258" s="26" t="s">
        <v>897</v>
      </c>
      <c r="J258" s="3"/>
      <c r="K258" s="3"/>
      <c r="L258" s="9"/>
      <c r="M258" s="3"/>
      <c r="N258" s="3"/>
    </row>
    <row r="259" spans="1:14" ht="15.75" x14ac:dyDescent="0.25">
      <c r="A259" s="19">
        <f t="shared" si="3"/>
        <v>258</v>
      </c>
      <c r="B259" s="20">
        <v>45889</v>
      </c>
      <c r="C259" s="20">
        <v>45889</v>
      </c>
      <c r="D259" s="22">
        <v>479882293</v>
      </c>
      <c r="E259" s="23" t="s">
        <v>391</v>
      </c>
      <c r="F259" s="24">
        <v>25000</v>
      </c>
      <c r="G259" s="24"/>
      <c r="H259" s="28" t="s">
        <v>903</v>
      </c>
      <c r="I259" s="26" t="s">
        <v>897</v>
      </c>
      <c r="J259" s="3"/>
      <c r="K259" s="3"/>
      <c r="L259" s="9"/>
      <c r="M259" s="3"/>
      <c r="N259" s="3"/>
    </row>
    <row r="260" spans="1:14" ht="15.75" x14ac:dyDescent="0.25">
      <c r="A260" s="19">
        <f t="shared" ref="A260:A323" si="4">1+A259</f>
        <v>259</v>
      </c>
      <c r="B260" s="20">
        <v>45890</v>
      </c>
      <c r="C260" s="20">
        <v>45890</v>
      </c>
      <c r="D260" s="22" t="s">
        <v>393</v>
      </c>
      <c r="E260" s="23" t="s">
        <v>392</v>
      </c>
      <c r="F260" s="24"/>
      <c r="G260" s="24">
        <v>54945.33</v>
      </c>
      <c r="H260" s="29" t="s">
        <v>896</v>
      </c>
      <c r="I260" s="26" t="s">
        <v>897</v>
      </c>
      <c r="J260" s="3"/>
      <c r="K260" s="3"/>
      <c r="L260" s="9"/>
      <c r="M260" s="3"/>
      <c r="N260" s="3"/>
    </row>
    <row r="261" spans="1:14" ht="15.75" x14ac:dyDescent="0.25">
      <c r="A261" s="19">
        <f t="shared" si="4"/>
        <v>260</v>
      </c>
      <c r="B261" s="20">
        <v>45890</v>
      </c>
      <c r="C261" s="20">
        <v>45890</v>
      </c>
      <c r="D261" s="22">
        <v>480069062</v>
      </c>
      <c r="E261" s="23" t="s">
        <v>150</v>
      </c>
      <c r="F261" s="24">
        <v>10000</v>
      </c>
      <c r="G261" s="24"/>
      <c r="H261" s="28" t="s">
        <v>909</v>
      </c>
      <c r="I261" s="26" t="s">
        <v>897</v>
      </c>
      <c r="J261" s="3"/>
      <c r="K261" s="3"/>
      <c r="L261" s="9"/>
      <c r="M261" s="3"/>
      <c r="N261" s="3"/>
    </row>
    <row r="262" spans="1:14" ht="15.75" x14ac:dyDescent="0.25">
      <c r="A262" s="19">
        <f t="shared" si="4"/>
        <v>261</v>
      </c>
      <c r="B262" s="20">
        <v>45890</v>
      </c>
      <c r="C262" s="20">
        <v>45890</v>
      </c>
      <c r="D262" s="22">
        <v>480070908</v>
      </c>
      <c r="E262" s="23" t="s">
        <v>302</v>
      </c>
      <c r="F262" s="24">
        <v>6555</v>
      </c>
      <c r="G262" s="24"/>
      <c r="H262" s="28" t="s">
        <v>904</v>
      </c>
      <c r="I262" s="26" t="s">
        <v>897</v>
      </c>
      <c r="J262" s="3"/>
      <c r="K262" s="3"/>
      <c r="L262" s="9"/>
      <c r="M262" s="3"/>
      <c r="N262" s="3"/>
    </row>
    <row r="263" spans="1:14" ht="15.75" x14ac:dyDescent="0.25">
      <c r="A263" s="19">
        <f t="shared" si="4"/>
        <v>262</v>
      </c>
      <c r="B263" s="20">
        <v>45890</v>
      </c>
      <c r="C263" s="20">
        <v>45890</v>
      </c>
      <c r="D263" s="22">
        <v>480070938</v>
      </c>
      <c r="E263" s="23" t="s">
        <v>137</v>
      </c>
      <c r="F263" s="24">
        <v>3000</v>
      </c>
      <c r="G263" s="24"/>
      <c r="H263" t="s">
        <v>914</v>
      </c>
      <c r="I263" s="26" t="s">
        <v>897</v>
      </c>
      <c r="J263" s="3"/>
      <c r="K263" s="3"/>
      <c r="L263" s="9"/>
      <c r="M263" s="3"/>
      <c r="N263" s="3"/>
    </row>
    <row r="264" spans="1:14" ht="15.75" x14ac:dyDescent="0.25">
      <c r="A264" s="19">
        <f t="shared" si="4"/>
        <v>263</v>
      </c>
      <c r="B264" s="20">
        <v>45890</v>
      </c>
      <c r="C264" s="20">
        <v>45890</v>
      </c>
      <c r="D264" s="22">
        <v>480070974</v>
      </c>
      <c r="E264" s="23" t="s">
        <v>137</v>
      </c>
      <c r="F264" s="24">
        <v>3000</v>
      </c>
      <c r="G264" s="24"/>
      <c r="H264" t="s">
        <v>914</v>
      </c>
      <c r="I264" s="26" t="s">
        <v>897</v>
      </c>
      <c r="J264" s="3"/>
      <c r="K264" s="3"/>
      <c r="L264" s="9"/>
      <c r="M264" s="3"/>
      <c r="N264" s="3"/>
    </row>
    <row r="265" spans="1:14" ht="15.75" x14ac:dyDescent="0.25">
      <c r="A265" s="19">
        <f t="shared" si="4"/>
        <v>264</v>
      </c>
      <c r="B265" s="20">
        <v>45890</v>
      </c>
      <c r="C265" s="20">
        <v>45890</v>
      </c>
      <c r="D265" s="22">
        <v>480071701</v>
      </c>
      <c r="E265" s="23" t="s">
        <v>136</v>
      </c>
      <c r="F265" s="24">
        <v>6850</v>
      </c>
      <c r="G265" s="24"/>
      <c r="H265" t="s">
        <v>913</v>
      </c>
      <c r="I265" s="26" t="s">
        <v>897</v>
      </c>
      <c r="J265" s="3"/>
      <c r="K265" s="3"/>
      <c r="L265" s="9"/>
      <c r="M265" s="3"/>
      <c r="N265" s="3"/>
    </row>
    <row r="266" spans="1:14" ht="15.75" x14ac:dyDescent="0.25">
      <c r="A266" s="19">
        <f t="shared" si="4"/>
        <v>265</v>
      </c>
      <c r="B266" s="20">
        <v>45890</v>
      </c>
      <c r="C266" s="20">
        <v>45890</v>
      </c>
      <c r="D266" s="22">
        <v>480071881</v>
      </c>
      <c r="E266" s="23" t="s">
        <v>273</v>
      </c>
      <c r="F266" s="24">
        <v>6000</v>
      </c>
      <c r="G266" s="24"/>
      <c r="H266" s="23" t="s">
        <v>903</v>
      </c>
      <c r="I266" s="26" t="s">
        <v>897</v>
      </c>
      <c r="J266" s="3"/>
      <c r="K266" s="3"/>
      <c r="L266" s="9"/>
      <c r="M266" s="3"/>
      <c r="N266" s="3"/>
    </row>
    <row r="267" spans="1:14" ht="15.75" x14ac:dyDescent="0.25">
      <c r="A267" s="19">
        <f t="shared" si="4"/>
        <v>266</v>
      </c>
      <c r="B267" s="20">
        <v>45890</v>
      </c>
      <c r="C267" s="20">
        <v>45890</v>
      </c>
      <c r="D267" s="22">
        <v>480071982</v>
      </c>
      <c r="E267" s="23" t="s">
        <v>273</v>
      </c>
      <c r="F267" s="24">
        <v>3000</v>
      </c>
      <c r="G267" s="24"/>
      <c r="H267" s="23" t="s">
        <v>903</v>
      </c>
      <c r="I267" s="26" t="s">
        <v>897</v>
      </c>
      <c r="J267" s="3"/>
      <c r="K267" s="3"/>
      <c r="L267" s="9"/>
      <c r="M267" s="3"/>
      <c r="N267" s="3"/>
    </row>
    <row r="268" spans="1:14" ht="15.75" x14ac:dyDescent="0.25">
      <c r="A268" s="19">
        <f t="shared" si="4"/>
        <v>267</v>
      </c>
      <c r="B268" s="20">
        <v>45890</v>
      </c>
      <c r="C268" s="20">
        <v>45890</v>
      </c>
      <c r="D268" s="22">
        <v>480072096</v>
      </c>
      <c r="E268" s="23" t="s">
        <v>394</v>
      </c>
      <c r="F268" s="24">
        <v>6271</v>
      </c>
      <c r="G268" s="24"/>
      <c r="H268" s="28" t="s">
        <v>904</v>
      </c>
      <c r="I268" s="26" t="s">
        <v>897</v>
      </c>
      <c r="J268" s="3"/>
      <c r="K268" s="3"/>
      <c r="L268" s="9"/>
      <c r="M268" s="3"/>
      <c r="N268" s="3"/>
    </row>
    <row r="269" spans="1:14" ht="15.75" x14ac:dyDescent="0.25">
      <c r="A269" s="19">
        <f t="shared" si="4"/>
        <v>268</v>
      </c>
      <c r="B269" s="20">
        <v>45891</v>
      </c>
      <c r="C269" s="20">
        <v>45891</v>
      </c>
      <c r="D269" s="22" t="s">
        <v>396</v>
      </c>
      <c r="E269" s="23" t="s">
        <v>395</v>
      </c>
      <c r="F269" s="24"/>
      <c r="G269" s="24">
        <v>2000</v>
      </c>
      <c r="H269" s="29" t="s">
        <v>896</v>
      </c>
      <c r="I269" s="26" t="s">
        <v>897</v>
      </c>
      <c r="J269" s="3"/>
      <c r="K269" s="3"/>
      <c r="L269" s="9"/>
      <c r="M269" s="3"/>
      <c r="N269" s="3"/>
    </row>
    <row r="270" spans="1:14" ht="15.75" x14ac:dyDescent="0.25">
      <c r="A270" s="19">
        <f t="shared" si="4"/>
        <v>269</v>
      </c>
      <c r="B270" s="20">
        <v>45891</v>
      </c>
      <c r="C270" s="20">
        <v>45891</v>
      </c>
      <c r="D270" s="22">
        <v>523409724287</v>
      </c>
      <c r="E270" s="23" t="s">
        <v>23</v>
      </c>
      <c r="F270" s="24"/>
      <c r="G270" s="24">
        <v>43500</v>
      </c>
      <c r="H270" s="28" t="s">
        <v>900</v>
      </c>
      <c r="I270" s="26" t="s">
        <v>897</v>
      </c>
      <c r="J270" s="3"/>
      <c r="K270" s="3"/>
      <c r="L270" s="9"/>
      <c r="M270" s="3"/>
      <c r="N270" s="3"/>
    </row>
    <row r="271" spans="1:14" ht="15.75" x14ac:dyDescent="0.25">
      <c r="A271" s="19">
        <f t="shared" si="4"/>
        <v>270</v>
      </c>
      <c r="B271" s="20">
        <v>45891</v>
      </c>
      <c r="C271" s="20">
        <v>45891</v>
      </c>
      <c r="D271" s="22" t="s">
        <v>398</v>
      </c>
      <c r="E271" s="23" t="s">
        <v>397</v>
      </c>
      <c r="F271" s="24"/>
      <c r="G271" s="24">
        <v>36920</v>
      </c>
      <c r="H271" s="23" t="s">
        <v>905</v>
      </c>
      <c r="I271" s="26" t="s">
        <v>897</v>
      </c>
      <c r="J271" s="3"/>
      <c r="K271" s="3"/>
      <c r="L271" s="9"/>
      <c r="M271" s="3"/>
      <c r="N271" s="3"/>
    </row>
    <row r="272" spans="1:14" ht="15.75" x14ac:dyDescent="0.25">
      <c r="A272" s="19">
        <f t="shared" si="4"/>
        <v>271</v>
      </c>
      <c r="B272" s="20">
        <v>45892</v>
      </c>
      <c r="C272" s="20">
        <v>45892</v>
      </c>
      <c r="D272" s="22" t="s">
        <v>400</v>
      </c>
      <c r="E272" s="23" t="s">
        <v>399</v>
      </c>
      <c r="F272" s="24"/>
      <c r="G272" s="24">
        <v>14600</v>
      </c>
      <c r="H272" s="29" t="s">
        <v>896</v>
      </c>
      <c r="I272" s="26" t="s">
        <v>897</v>
      </c>
      <c r="J272" s="3"/>
      <c r="K272" s="3"/>
      <c r="L272" s="9"/>
      <c r="M272" s="3"/>
      <c r="N272" s="3"/>
    </row>
    <row r="273" spans="1:14" ht="15.75" x14ac:dyDescent="0.25">
      <c r="A273" s="19">
        <f t="shared" si="4"/>
        <v>272</v>
      </c>
      <c r="B273" s="20">
        <v>45892</v>
      </c>
      <c r="C273" s="20">
        <v>45892</v>
      </c>
      <c r="D273" s="22">
        <v>480442932</v>
      </c>
      <c r="E273" s="23" t="s">
        <v>64</v>
      </c>
      <c r="F273" s="24">
        <v>37500</v>
      </c>
      <c r="G273" s="24"/>
      <c r="H273" s="28" t="s">
        <v>909</v>
      </c>
      <c r="I273" s="26" t="s">
        <v>897</v>
      </c>
      <c r="J273" s="3"/>
      <c r="K273" s="3"/>
      <c r="L273" s="9"/>
      <c r="M273" s="3"/>
      <c r="N273" s="3"/>
    </row>
    <row r="274" spans="1:14" ht="15.75" x14ac:dyDescent="0.25">
      <c r="A274" s="19">
        <f t="shared" si="4"/>
        <v>273</v>
      </c>
      <c r="B274" s="20">
        <v>45893</v>
      </c>
      <c r="C274" s="20">
        <v>45893</v>
      </c>
      <c r="D274" s="22" t="s">
        <v>402</v>
      </c>
      <c r="E274" s="23" t="s">
        <v>401</v>
      </c>
      <c r="F274" s="24"/>
      <c r="G274" s="24">
        <v>8100</v>
      </c>
      <c r="H274" s="29" t="s">
        <v>896</v>
      </c>
      <c r="I274" s="26" t="s">
        <v>897</v>
      </c>
      <c r="J274" s="3"/>
      <c r="K274" s="3"/>
      <c r="L274" s="9"/>
      <c r="M274" s="3"/>
      <c r="N274" s="3"/>
    </row>
    <row r="275" spans="1:14" ht="15.75" x14ac:dyDescent="0.25">
      <c r="A275" s="19">
        <f t="shared" si="4"/>
        <v>274</v>
      </c>
      <c r="B275" s="20">
        <v>45894</v>
      </c>
      <c r="C275" s="20">
        <v>45894</v>
      </c>
      <c r="D275" s="22" t="s">
        <v>404</v>
      </c>
      <c r="E275" s="23" t="s">
        <v>403</v>
      </c>
      <c r="F275" s="24"/>
      <c r="G275" s="24">
        <v>2800</v>
      </c>
      <c r="H275" s="29" t="s">
        <v>896</v>
      </c>
      <c r="I275" s="26" t="s">
        <v>897</v>
      </c>
      <c r="J275" s="3"/>
      <c r="K275" s="3"/>
      <c r="L275" s="9"/>
      <c r="M275" s="3"/>
      <c r="N275" s="3"/>
    </row>
    <row r="276" spans="1:14" ht="15.75" x14ac:dyDescent="0.25">
      <c r="A276" s="19">
        <f t="shared" si="4"/>
        <v>275</v>
      </c>
      <c r="B276" s="20">
        <v>45894</v>
      </c>
      <c r="C276" s="20">
        <v>45894</v>
      </c>
      <c r="D276" s="22">
        <v>480648815</v>
      </c>
      <c r="E276" s="23" t="s">
        <v>380</v>
      </c>
      <c r="F276" s="24">
        <v>68215</v>
      </c>
      <c r="G276" s="24"/>
      <c r="H276" s="23" t="s">
        <v>899</v>
      </c>
      <c r="I276" s="26" t="s">
        <v>897</v>
      </c>
      <c r="J276" s="3"/>
      <c r="K276" s="3"/>
      <c r="L276" s="9"/>
      <c r="M276" s="3"/>
      <c r="N276" s="3"/>
    </row>
    <row r="277" spans="1:14" ht="15.75" x14ac:dyDescent="0.25">
      <c r="A277" s="19">
        <f t="shared" si="4"/>
        <v>276</v>
      </c>
      <c r="B277" s="20">
        <v>45894</v>
      </c>
      <c r="C277" s="20">
        <v>45894</v>
      </c>
      <c r="D277" s="22">
        <v>480728305</v>
      </c>
      <c r="E277" s="23" t="s">
        <v>158</v>
      </c>
      <c r="F277" s="24">
        <v>21126</v>
      </c>
      <c r="G277" s="24"/>
      <c r="H277" s="28" t="s">
        <v>910</v>
      </c>
      <c r="I277" s="26" t="s">
        <v>897</v>
      </c>
      <c r="J277" s="3"/>
      <c r="K277" s="3"/>
      <c r="L277" s="9"/>
      <c r="M277" s="3"/>
      <c r="N277" s="3"/>
    </row>
    <row r="278" spans="1:14" ht="15.75" x14ac:dyDescent="0.25">
      <c r="A278" s="19">
        <f t="shared" si="4"/>
        <v>277</v>
      </c>
      <c r="B278" s="20">
        <v>45894</v>
      </c>
      <c r="C278" s="20">
        <v>45894</v>
      </c>
      <c r="D278" s="22">
        <v>480771517</v>
      </c>
      <c r="E278" s="23" t="s">
        <v>150</v>
      </c>
      <c r="F278" s="24">
        <v>1380</v>
      </c>
      <c r="G278" s="24"/>
      <c r="H278" s="28" t="s">
        <v>909</v>
      </c>
      <c r="I278" s="26" t="s">
        <v>897</v>
      </c>
      <c r="J278" s="3"/>
      <c r="K278" s="3"/>
      <c r="L278" s="9"/>
      <c r="M278" s="3"/>
      <c r="N278" s="3"/>
    </row>
    <row r="279" spans="1:14" ht="15.75" x14ac:dyDescent="0.25">
      <c r="A279" s="19">
        <f t="shared" si="4"/>
        <v>278</v>
      </c>
      <c r="B279" s="20">
        <v>45895</v>
      </c>
      <c r="C279" s="20">
        <v>45895</v>
      </c>
      <c r="D279" s="22" t="s">
        <v>406</v>
      </c>
      <c r="E279" s="23" t="s">
        <v>405</v>
      </c>
      <c r="F279" s="24"/>
      <c r="G279" s="24">
        <v>15450</v>
      </c>
      <c r="H279" s="29" t="s">
        <v>896</v>
      </c>
      <c r="I279" s="26" t="s">
        <v>897</v>
      </c>
      <c r="J279" s="3"/>
      <c r="K279" s="3"/>
      <c r="L279" s="9"/>
      <c r="M279" s="3"/>
      <c r="N279" s="3"/>
    </row>
    <row r="280" spans="1:14" ht="15.75" x14ac:dyDescent="0.25">
      <c r="A280" s="19">
        <f t="shared" si="4"/>
        <v>279</v>
      </c>
      <c r="B280" s="20">
        <v>45896</v>
      </c>
      <c r="C280" s="20">
        <v>45896</v>
      </c>
      <c r="D280" s="22" t="s">
        <v>408</v>
      </c>
      <c r="E280" s="23" t="s">
        <v>407</v>
      </c>
      <c r="F280" s="24"/>
      <c r="G280" s="24">
        <v>26630</v>
      </c>
      <c r="H280" s="29" t="s">
        <v>896</v>
      </c>
      <c r="I280" s="26" t="s">
        <v>897</v>
      </c>
      <c r="J280" s="3"/>
      <c r="K280" s="3"/>
      <c r="L280" s="9"/>
      <c r="M280" s="3"/>
      <c r="N280" s="3"/>
    </row>
    <row r="281" spans="1:14" ht="15.75" x14ac:dyDescent="0.25">
      <c r="A281" s="19">
        <f t="shared" si="4"/>
        <v>280</v>
      </c>
      <c r="B281" s="20">
        <v>45896</v>
      </c>
      <c r="C281" s="20">
        <v>45896</v>
      </c>
      <c r="D281" s="22" t="s">
        <v>410</v>
      </c>
      <c r="E281" s="23" t="s">
        <v>409</v>
      </c>
      <c r="F281" s="24"/>
      <c r="G281" s="24">
        <v>5000</v>
      </c>
      <c r="H281" s="29" t="s">
        <v>903</v>
      </c>
      <c r="I281" s="26" t="s">
        <v>897</v>
      </c>
      <c r="J281" s="3"/>
      <c r="K281" s="3"/>
      <c r="L281" s="9"/>
      <c r="M281" s="3"/>
      <c r="N281" s="3"/>
    </row>
    <row r="282" spans="1:14" ht="15.75" x14ac:dyDescent="0.25">
      <c r="A282" s="19">
        <f t="shared" si="4"/>
        <v>281</v>
      </c>
      <c r="B282" s="20">
        <v>45897</v>
      </c>
      <c r="C282" s="20">
        <v>45897</v>
      </c>
      <c r="D282" s="22" t="s">
        <v>412</v>
      </c>
      <c r="E282" s="23" t="s">
        <v>411</v>
      </c>
      <c r="F282" s="24"/>
      <c r="G282" s="24">
        <v>2500</v>
      </c>
      <c r="H282" s="29" t="s">
        <v>896</v>
      </c>
      <c r="I282" s="26" t="s">
        <v>897</v>
      </c>
      <c r="J282" s="3"/>
      <c r="K282" s="3"/>
      <c r="L282" s="9"/>
      <c r="M282" s="3"/>
      <c r="N282" s="3"/>
    </row>
    <row r="283" spans="1:14" ht="15.75" x14ac:dyDescent="0.25">
      <c r="A283" s="19">
        <f t="shared" si="4"/>
        <v>282</v>
      </c>
      <c r="B283" s="20">
        <v>45897</v>
      </c>
      <c r="C283" s="20">
        <v>45897</v>
      </c>
      <c r="D283" s="22" t="s">
        <v>414</v>
      </c>
      <c r="E283" s="23" t="s">
        <v>413</v>
      </c>
      <c r="F283" s="24"/>
      <c r="G283" s="24">
        <v>5249</v>
      </c>
      <c r="H283" s="23" t="s">
        <v>923</v>
      </c>
      <c r="I283" s="26" t="s">
        <v>897</v>
      </c>
      <c r="J283" s="3"/>
      <c r="K283" s="3"/>
      <c r="L283" s="9"/>
      <c r="M283" s="3"/>
      <c r="N283" s="3"/>
    </row>
    <row r="284" spans="1:14" ht="15.75" x14ac:dyDescent="0.25">
      <c r="A284" s="19">
        <f t="shared" si="4"/>
        <v>283</v>
      </c>
      <c r="B284" s="20">
        <v>45898</v>
      </c>
      <c r="C284" s="20">
        <v>45898</v>
      </c>
      <c r="D284" s="22" t="s">
        <v>416</v>
      </c>
      <c r="E284" s="23" t="s">
        <v>415</v>
      </c>
      <c r="F284" s="24"/>
      <c r="G284" s="24">
        <v>12900</v>
      </c>
      <c r="H284" s="29" t="s">
        <v>896</v>
      </c>
      <c r="I284" s="26" t="s">
        <v>897</v>
      </c>
      <c r="J284" s="3"/>
      <c r="K284" s="3"/>
      <c r="L284" s="9"/>
      <c r="M284" s="3"/>
      <c r="N284" s="3"/>
    </row>
    <row r="285" spans="1:14" ht="15.75" x14ac:dyDescent="0.25">
      <c r="A285" s="19">
        <f t="shared" si="4"/>
        <v>284</v>
      </c>
      <c r="B285" s="20">
        <v>45898</v>
      </c>
      <c r="C285" s="20">
        <v>45898</v>
      </c>
      <c r="D285" s="22" t="s">
        <v>418</v>
      </c>
      <c r="E285" s="23" t="s">
        <v>417</v>
      </c>
      <c r="F285" s="24">
        <v>1770</v>
      </c>
      <c r="G285" s="24"/>
      <c r="H285" s="28" t="s">
        <v>907</v>
      </c>
      <c r="I285" s="26" t="s">
        <v>897</v>
      </c>
      <c r="J285" s="3"/>
      <c r="K285" s="3"/>
      <c r="L285" s="9"/>
      <c r="M285" s="3"/>
      <c r="N285" s="3"/>
    </row>
    <row r="286" spans="1:14" ht="15.75" x14ac:dyDescent="0.25">
      <c r="A286" s="19">
        <f t="shared" si="4"/>
        <v>285</v>
      </c>
      <c r="B286" s="20">
        <v>45899</v>
      </c>
      <c r="C286" s="20">
        <v>45899</v>
      </c>
      <c r="D286" s="22" t="s">
        <v>420</v>
      </c>
      <c r="E286" s="23" t="s">
        <v>419</v>
      </c>
      <c r="F286" s="24"/>
      <c r="G286" s="24">
        <v>12000</v>
      </c>
      <c r="H286" s="29" t="s">
        <v>896</v>
      </c>
      <c r="I286" s="26" t="s">
        <v>897</v>
      </c>
      <c r="J286" s="3"/>
      <c r="K286" s="3"/>
      <c r="L286" s="9"/>
      <c r="M286" s="3"/>
      <c r="N286" s="3"/>
    </row>
    <row r="287" spans="1:14" ht="15.75" x14ac:dyDescent="0.25">
      <c r="A287" s="19">
        <f t="shared" si="4"/>
        <v>286</v>
      </c>
      <c r="B287" s="20">
        <v>45900</v>
      </c>
      <c r="C287" s="20">
        <v>45900</v>
      </c>
      <c r="D287" s="22" t="s">
        <v>422</v>
      </c>
      <c r="E287" s="23" t="s">
        <v>421</v>
      </c>
      <c r="F287" s="24"/>
      <c r="G287" s="24">
        <v>11575.04</v>
      </c>
      <c r="H287" s="29" t="s">
        <v>896</v>
      </c>
      <c r="I287" s="26" t="s">
        <v>897</v>
      </c>
      <c r="J287" s="3"/>
      <c r="K287" s="3"/>
      <c r="L287" s="9"/>
      <c r="M287" s="3"/>
      <c r="N287" s="3"/>
    </row>
    <row r="288" spans="1:14" ht="15.75" x14ac:dyDescent="0.25">
      <c r="A288" s="19">
        <f t="shared" si="4"/>
        <v>287</v>
      </c>
      <c r="B288" s="20">
        <v>45901</v>
      </c>
      <c r="C288" s="20">
        <v>45901</v>
      </c>
      <c r="D288" s="22" t="s">
        <v>424</v>
      </c>
      <c r="E288" s="23" t="s">
        <v>423</v>
      </c>
      <c r="F288" s="24"/>
      <c r="G288" s="24">
        <v>8800</v>
      </c>
      <c r="H288" s="28" t="s">
        <v>903</v>
      </c>
      <c r="I288" s="26" t="s">
        <v>897</v>
      </c>
      <c r="J288" s="3"/>
      <c r="K288" s="3"/>
      <c r="L288" s="9"/>
      <c r="M288" s="3"/>
      <c r="N288" s="3"/>
    </row>
    <row r="289" spans="1:14" ht="15.75" x14ac:dyDescent="0.25">
      <c r="A289" s="19">
        <f t="shared" si="4"/>
        <v>288</v>
      </c>
      <c r="B289" s="20">
        <v>45902</v>
      </c>
      <c r="C289" s="20">
        <v>45902</v>
      </c>
      <c r="D289" s="22" t="s">
        <v>426</v>
      </c>
      <c r="E289" s="23" t="s">
        <v>425</v>
      </c>
      <c r="F289" s="24"/>
      <c r="G289" s="24">
        <v>11980.53</v>
      </c>
      <c r="H289" s="29" t="s">
        <v>896</v>
      </c>
      <c r="I289" s="26" t="s">
        <v>897</v>
      </c>
      <c r="J289" s="3"/>
      <c r="K289" s="3"/>
      <c r="L289" s="9"/>
      <c r="M289" s="3"/>
      <c r="N289" s="3"/>
    </row>
    <row r="290" spans="1:14" ht="15.75" x14ac:dyDescent="0.25">
      <c r="A290" s="19">
        <f t="shared" si="4"/>
        <v>289</v>
      </c>
      <c r="B290" s="20">
        <v>45902</v>
      </c>
      <c r="C290" s="20">
        <v>45902</v>
      </c>
      <c r="D290" s="22" t="s">
        <v>428</v>
      </c>
      <c r="E290" s="23" t="s">
        <v>427</v>
      </c>
      <c r="F290" s="24">
        <v>9900</v>
      </c>
      <c r="G290" s="24"/>
      <c r="H290" s="28" t="s">
        <v>907</v>
      </c>
      <c r="I290" s="26" t="s">
        <v>897</v>
      </c>
      <c r="J290" s="3"/>
      <c r="K290" s="3"/>
      <c r="L290" s="9"/>
      <c r="M290" s="3"/>
      <c r="N290" s="3"/>
    </row>
    <row r="291" spans="1:14" ht="15.75" x14ac:dyDescent="0.25">
      <c r="A291" s="19">
        <f t="shared" si="4"/>
        <v>290</v>
      </c>
      <c r="B291" s="20">
        <v>45902</v>
      </c>
      <c r="C291" s="20">
        <v>45902</v>
      </c>
      <c r="D291" s="22">
        <v>482261015</v>
      </c>
      <c r="E291" s="23" t="s">
        <v>429</v>
      </c>
      <c r="F291" s="24">
        <v>100000</v>
      </c>
      <c r="G291" s="24"/>
      <c r="H291" s="28" t="s">
        <v>903</v>
      </c>
      <c r="I291" s="26" t="s">
        <v>897</v>
      </c>
      <c r="J291" s="3"/>
      <c r="K291" s="3"/>
      <c r="L291" s="9"/>
      <c r="M291" s="3"/>
      <c r="N291" s="3"/>
    </row>
    <row r="292" spans="1:14" ht="15.75" x14ac:dyDescent="0.25">
      <c r="A292" s="19">
        <f t="shared" si="4"/>
        <v>291</v>
      </c>
      <c r="B292" s="20">
        <v>45903</v>
      </c>
      <c r="C292" s="20">
        <v>45903</v>
      </c>
      <c r="D292" s="22" t="s">
        <v>431</v>
      </c>
      <c r="E292" s="23" t="s">
        <v>430</v>
      </c>
      <c r="F292" s="24"/>
      <c r="G292" s="24">
        <v>35396</v>
      </c>
      <c r="H292" s="29" t="s">
        <v>896</v>
      </c>
      <c r="I292" s="26" t="s">
        <v>897</v>
      </c>
      <c r="J292" s="3"/>
      <c r="K292" s="3"/>
      <c r="L292" s="9"/>
      <c r="M292" s="3"/>
      <c r="N292" s="3"/>
    </row>
    <row r="293" spans="1:14" ht="15.75" x14ac:dyDescent="0.25">
      <c r="A293" s="19">
        <f t="shared" si="4"/>
        <v>292</v>
      </c>
      <c r="B293" s="20">
        <v>45905</v>
      </c>
      <c r="C293" s="20">
        <v>45905</v>
      </c>
      <c r="D293" s="22" t="s">
        <v>433</v>
      </c>
      <c r="E293" s="23" t="s">
        <v>432</v>
      </c>
      <c r="F293" s="24"/>
      <c r="G293" s="24">
        <v>14449</v>
      </c>
      <c r="H293" s="29" t="s">
        <v>896</v>
      </c>
      <c r="I293" s="26" t="s">
        <v>897</v>
      </c>
      <c r="J293" s="3"/>
      <c r="K293" s="3"/>
      <c r="L293" s="9"/>
      <c r="M293" s="3"/>
      <c r="N293" s="3"/>
    </row>
    <row r="294" spans="1:14" ht="15.75" x14ac:dyDescent="0.25">
      <c r="A294" s="19">
        <f t="shared" si="4"/>
        <v>293</v>
      </c>
      <c r="B294" s="20">
        <v>45906</v>
      </c>
      <c r="C294" s="20">
        <v>45906</v>
      </c>
      <c r="D294" s="22" t="s">
        <v>435</v>
      </c>
      <c r="E294" s="23" t="s">
        <v>434</v>
      </c>
      <c r="F294" s="24"/>
      <c r="G294" s="24">
        <v>8300</v>
      </c>
      <c r="H294" s="29" t="s">
        <v>896</v>
      </c>
      <c r="I294" s="26" t="s">
        <v>897</v>
      </c>
      <c r="J294" s="3"/>
      <c r="K294" s="3"/>
      <c r="L294" s="9"/>
      <c r="M294" s="3"/>
      <c r="N294" s="3"/>
    </row>
    <row r="295" spans="1:14" ht="15.75" x14ac:dyDescent="0.25">
      <c r="A295" s="19">
        <f t="shared" si="4"/>
        <v>294</v>
      </c>
      <c r="B295" s="20">
        <v>45907</v>
      </c>
      <c r="C295" s="20">
        <v>45907</v>
      </c>
      <c r="D295" s="22" t="s">
        <v>437</v>
      </c>
      <c r="E295" s="23" t="s">
        <v>436</v>
      </c>
      <c r="F295" s="24"/>
      <c r="G295" s="24">
        <v>2500</v>
      </c>
      <c r="H295" s="29" t="s">
        <v>896</v>
      </c>
      <c r="I295" s="26" t="s">
        <v>897</v>
      </c>
      <c r="J295" s="3"/>
      <c r="K295" s="3"/>
      <c r="L295" s="9"/>
      <c r="M295" s="3"/>
      <c r="N295" s="3"/>
    </row>
    <row r="296" spans="1:14" ht="15.75" x14ac:dyDescent="0.25">
      <c r="A296" s="19">
        <f t="shared" si="4"/>
        <v>295</v>
      </c>
      <c r="B296" s="20">
        <v>45909</v>
      </c>
      <c r="C296" s="20">
        <v>45909</v>
      </c>
      <c r="D296" s="22" t="s">
        <v>439</v>
      </c>
      <c r="E296" s="23" t="s">
        <v>438</v>
      </c>
      <c r="F296" s="24"/>
      <c r="G296" s="24">
        <v>20850</v>
      </c>
      <c r="H296" s="29" t="s">
        <v>896</v>
      </c>
      <c r="I296" s="26" t="s">
        <v>897</v>
      </c>
      <c r="J296" s="3"/>
      <c r="K296" s="3"/>
      <c r="L296" s="9"/>
      <c r="M296" s="3"/>
      <c r="N296" s="3"/>
    </row>
    <row r="297" spans="1:14" ht="15.75" x14ac:dyDescent="0.25">
      <c r="A297" s="19">
        <f t="shared" si="4"/>
        <v>296</v>
      </c>
      <c r="B297" s="20">
        <v>45909</v>
      </c>
      <c r="C297" s="20">
        <v>45909</v>
      </c>
      <c r="D297" s="22" t="s">
        <v>441</v>
      </c>
      <c r="E297" s="23" t="s">
        <v>440</v>
      </c>
      <c r="F297" s="24"/>
      <c r="G297" s="24">
        <v>15000</v>
      </c>
      <c r="H297" s="29" t="s">
        <v>903</v>
      </c>
      <c r="I297" s="26" t="s">
        <v>897</v>
      </c>
      <c r="J297" s="3"/>
      <c r="K297" s="3"/>
      <c r="L297" s="9"/>
      <c r="M297" s="3"/>
      <c r="N297" s="3"/>
    </row>
    <row r="298" spans="1:14" ht="15.75" x14ac:dyDescent="0.25">
      <c r="A298" s="19">
        <f t="shared" si="4"/>
        <v>297</v>
      </c>
      <c r="B298" s="20">
        <v>45909</v>
      </c>
      <c r="C298" s="20">
        <v>45909</v>
      </c>
      <c r="D298" s="22">
        <v>525209727775</v>
      </c>
      <c r="E298" s="23" t="s">
        <v>23</v>
      </c>
      <c r="F298" s="24"/>
      <c r="G298" s="24">
        <v>49500</v>
      </c>
      <c r="H298" s="28" t="s">
        <v>900</v>
      </c>
      <c r="I298" s="26" t="s">
        <v>897</v>
      </c>
      <c r="J298" s="3"/>
      <c r="K298" s="3"/>
      <c r="L298" s="9"/>
      <c r="M298" s="3"/>
      <c r="N298" s="3"/>
    </row>
    <row r="299" spans="1:14" ht="15.75" x14ac:dyDescent="0.25">
      <c r="A299" s="19">
        <f t="shared" si="4"/>
        <v>298</v>
      </c>
      <c r="B299" s="20">
        <v>45909</v>
      </c>
      <c r="C299" s="20">
        <v>45909</v>
      </c>
      <c r="D299" s="22">
        <v>525209727777</v>
      </c>
      <c r="E299" s="23" t="s">
        <v>23</v>
      </c>
      <c r="F299" s="24"/>
      <c r="G299" s="24">
        <v>26800</v>
      </c>
      <c r="H299" s="28" t="s">
        <v>900</v>
      </c>
      <c r="I299" s="26" t="s">
        <v>897</v>
      </c>
      <c r="J299" s="3"/>
      <c r="K299" s="3"/>
      <c r="L299" s="9"/>
      <c r="M299" s="3"/>
      <c r="N299" s="3"/>
    </row>
    <row r="300" spans="1:14" ht="15.75" x14ac:dyDescent="0.25">
      <c r="A300" s="19">
        <f t="shared" si="4"/>
        <v>299</v>
      </c>
      <c r="B300" s="20">
        <v>45909</v>
      </c>
      <c r="C300" s="20">
        <v>45909</v>
      </c>
      <c r="D300" s="22">
        <v>525209727779</v>
      </c>
      <c r="E300" s="23" t="s">
        <v>23</v>
      </c>
      <c r="F300" s="24"/>
      <c r="G300" s="24">
        <v>500</v>
      </c>
      <c r="H300" s="28" t="s">
        <v>900</v>
      </c>
      <c r="I300" s="26" t="s">
        <v>897</v>
      </c>
      <c r="J300" s="3"/>
      <c r="K300" s="3"/>
      <c r="L300" s="9"/>
      <c r="M300" s="3"/>
      <c r="N300" s="3"/>
    </row>
    <row r="301" spans="1:14" ht="15.75" x14ac:dyDescent="0.25">
      <c r="A301" s="19">
        <f t="shared" si="4"/>
        <v>300</v>
      </c>
      <c r="B301" s="20">
        <v>45909</v>
      </c>
      <c r="C301" s="20">
        <v>45909</v>
      </c>
      <c r="D301" s="22" t="s">
        <v>443</v>
      </c>
      <c r="E301" s="23" t="s">
        <v>442</v>
      </c>
      <c r="F301" s="24"/>
      <c r="G301" s="24">
        <v>17400</v>
      </c>
      <c r="H301" s="23" t="s">
        <v>905</v>
      </c>
      <c r="I301" s="26" t="s">
        <v>897</v>
      </c>
      <c r="J301" s="3"/>
      <c r="K301" s="3"/>
      <c r="L301" s="9"/>
      <c r="M301" s="3"/>
      <c r="N301" s="3"/>
    </row>
    <row r="302" spans="1:14" ht="15.75" x14ac:dyDescent="0.25">
      <c r="A302" s="19">
        <f t="shared" si="4"/>
        <v>301</v>
      </c>
      <c r="B302" s="20">
        <v>45910</v>
      </c>
      <c r="C302" s="20">
        <v>45910</v>
      </c>
      <c r="D302" s="22" t="s">
        <v>445</v>
      </c>
      <c r="E302" s="23" t="s">
        <v>444</v>
      </c>
      <c r="F302" s="24"/>
      <c r="G302" s="24">
        <v>27085</v>
      </c>
      <c r="H302" s="29" t="s">
        <v>896</v>
      </c>
      <c r="I302" s="26" t="s">
        <v>897</v>
      </c>
      <c r="J302" s="3"/>
      <c r="K302" s="3"/>
      <c r="L302" s="9"/>
      <c r="M302" s="3"/>
      <c r="N302" s="3"/>
    </row>
    <row r="303" spans="1:14" ht="15.75" x14ac:dyDescent="0.25">
      <c r="A303" s="19">
        <f t="shared" si="4"/>
        <v>302</v>
      </c>
      <c r="B303" s="20">
        <v>45910</v>
      </c>
      <c r="C303" s="20">
        <v>45910</v>
      </c>
      <c r="D303" s="22">
        <v>483700967</v>
      </c>
      <c r="E303" s="23" t="s">
        <v>27</v>
      </c>
      <c r="F303" s="24">
        <v>25320</v>
      </c>
      <c r="G303" s="24"/>
      <c r="H303" s="28" t="s">
        <v>902</v>
      </c>
      <c r="I303" s="26" t="s">
        <v>897</v>
      </c>
      <c r="J303" s="3"/>
      <c r="K303" s="3"/>
      <c r="L303" s="9"/>
      <c r="M303" s="3"/>
      <c r="N303" s="3"/>
    </row>
    <row r="304" spans="1:14" ht="15.75" x14ac:dyDescent="0.25">
      <c r="A304" s="19">
        <f t="shared" si="4"/>
        <v>303</v>
      </c>
      <c r="B304" s="20">
        <v>45910</v>
      </c>
      <c r="C304" s="20">
        <v>45910</v>
      </c>
      <c r="D304" s="22">
        <v>483701120</v>
      </c>
      <c r="E304" s="23" t="s">
        <v>27</v>
      </c>
      <c r="F304" s="24">
        <v>25320</v>
      </c>
      <c r="G304" s="24"/>
      <c r="H304" s="28" t="s">
        <v>902</v>
      </c>
      <c r="I304" s="26" t="s">
        <v>897</v>
      </c>
      <c r="J304" s="3"/>
      <c r="K304" s="3"/>
      <c r="L304" s="9"/>
      <c r="M304" s="3"/>
      <c r="N304" s="3"/>
    </row>
    <row r="305" spans="1:14" ht="15.75" x14ac:dyDescent="0.25">
      <c r="A305" s="19">
        <f t="shared" si="4"/>
        <v>304</v>
      </c>
      <c r="B305" s="20">
        <v>45910</v>
      </c>
      <c r="C305" s="20">
        <v>45910</v>
      </c>
      <c r="D305" s="22">
        <v>483701250</v>
      </c>
      <c r="E305" s="23" t="s">
        <v>27</v>
      </c>
      <c r="F305" s="24">
        <v>22000</v>
      </c>
      <c r="G305" s="24"/>
      <c r="H305" s="28" t="s">
        <v>902</v>
      </c>
      <c r="I305" s="26" t="s">
        <v>897</v>
      </c>
      <c r="J305" s="3"/>
      <c r="K305" s="3"/>
      <c r="L305" s="9"/>
      <c r="M305" s="3"/>
      <c r="N305" s="3"/>
    </row>
    <row r="306" spans="1:14" ht="15.75" x14ac:dyDescent="0.25">
      <c r="A306" s="19">
        <f t="shared" si="4"/>
        <v>305</v>
      </c>
      <c r="B306" s="20">
        <v>45910</v>
      </c>
      <c r="C306" s="20">
        <v>45910</v>
      </c>
      <c r="D306" s="22">
        <v>483701471</v>
      </c>
      <c r="E306" s="23" t="s">
        <v>27</v>
      </c>
      <c r="F306" s="24">
        <v>30000</v>
      </c>
      <c r="G306" s="24"/>
      <c r="H306" s="28" t="s">
        <v>902</v>
      </c>
      <c r="I306" s="26" t="s">
        <v>897</v>
      </c>
      <c r="J306" s="3"/>
      <c r="K306" s="3"/>
      <c r="L306" s="9"/>
      <c r="M306" s="3"/>
      <c r="N306" s="3"/>
    </row>
    <row r="307" spans="1:14" ht="15.75" x14ac:dyDescent="0.25">
      <c r="A307" s="19">
        <f t="shared" si="4"/>
        <v>306</v>
      </c>
      <c r="B307" s="20">
        <v>45910</v>
      </c>
      <c r="C307" s="20">
        <v>45910</v>
      </c>
      <c r="D307" s="22">
        <v>483704288</v>
      </c>
      <c r="E307" s="23" t="s">
        <v>446</v>
      </c>
      <c r="F307" s="24">
        <v>85000</v>
      </c>
      <c r="G307" s="24"/>
      <c r="H307" s="28" t="s">
        <v>903</v>
      </c>
      <c r="I307" s="26" t="s">
        <v>897</v>
      </c>
      <c r="J307" s="3"/>
      <c r="K307" s="3"/>
      <c r="L307" s="9"/>
      <c r="M307" s="3"/>
      <c r="N307" s="3"/>
    </row>
    <row r="308" spans="1:14" ht="15.75" x14ac:dyDescent="0.25">
      <c r="A308" s="19">
        <f t="shared" si="4"/>
        <v>307</v>
      </c>
      <c r="B308" s="20">
        <v>45911</v>
      </c>
      <c r="C308" s="20">
        <v>45911</v>
      </c>
      <c r="D308" s="22" t="s">
        <v>448</v>
      </c>
      <c r="E308" s="23" t="s">
        <v>447</v>
      </c>
      <c r="F308" s="24"/>
      <c r="G308" s="24">
        <v>16078</v>
      </c>
      <c r="H308" s="29" t="s">
        <v>896</v>
      </c>
      <c r="I308" s="26" t="s">
        <v>897</v>
      </c>
      <c r="J308" s="3"/>
      <c r="K308" s="3"/>
      <c r="L308" s="9"/>
      <c r="M308" s="3"/>
      <c r="N308" s="3"/>
    </row>
    <row r="309" spans="1:14" ht="15.75" x14ac:dyDescent="0.25">
      <c r="A309" s="19">
        <f t="shared" si="4"/>
        <v>308</v>
      </c>
      <c r="B309" s="20">
        <v>45911</v>
      </c>
      <c r="C309" s="20">
        <v>45911</v>
      </c>
      <c r="D309" s="22" t="s">
        <v>450</v>
      </c>
      <c r="E309" s="23" t="s">
        <v>449</v>
      </c>
      <c r="F309" s="24"/>
      <c r="G309" s="24">
        <v>44000</v>
      </c>
      <c r="H309" s="28" t="s">
        <v>903</v>
      </c>
      <c r="I309" s="26" t="s">
        <v>897</v>
      </c>
      <c r="J309" s="3"/>
      <c r="K309" s="3"/>
      <c r="L309" s="9"/>
      <c r="M309" s="3"/>
      <c r="N309" s="3"/>
    </row>
    <row r="310" spans="1:14" ht="15.75" x14ac:dyDescent="0.25">
      <c r="A310" s="19">
        <f t="shared" si="4"/>
        <v>309</v>
      </c>
      <c r="B310" s="20">
        <v>45912</v>
      </c>
      <c r="C310" s="20">
        <v>45912</v>
      </c>
      <c r="D310" s="22" t="s">
        <v>452</v>
      </c>
      <c r="E310" s="23" t="s">
        <v>451</v>
      </c>
      <c r="F310" s="24"/>
      <c r="G310" s="24">
        <v>17449</v>
      </c>
      <c r="H310" s="29" t="s">
        <v>896</v>
      </c>
      <c r="I310" s="26" t="s">
        <v>897</v>
      </c>
      <c r="J310" s="3"/>
      <c r="K310" s="3"/>
      <c r="L310" s="9"/>
      <c r="M310" s="3"/>
      <c r="N310" s="3"/>
    </row>
    <row r="311" spans="1:14" ht="15.75" x14ac:dyDescent="0.25">
      <c r="A311" s="19">
        <f t="shared" si="4"/>
        <v>310</v>
      </c>
      <c r="B311" s="20">
        <v>45914</v>
      </c>
      <c r="C311" s="20">
        <v>45914</v>
      </c>
      <c r="D311" s="22" t="s">
        <v>454</v>
      </c>
      <c r="E311" s="23" t="s">
        <v>453</v>
      </c>
      <c r="F311" s="24"/>
      <c r="G311" s="24">
        <v>4700</v>
      </c>
      <c r="H311" s="29" t="s">
        <v>896</v>
      </c>
      <c r="I311" s="26" t="s">
        <v>897</v>
      </c>
      <c r="J311" s="3"/>
      <c r="K311" s="3"/>
      <c r="L311" s="9"/>
      <c r="M311" s="3"/>
      <c r="N311" s="3"/>
    </row>
    <row r="312" spans="1:14" ht="15.75" x14ac:dyDescent="0.25">
      <c r="A312" s="19">
        <f t="shared" si="4"/>
        <v>311</v>
      </c>
      <c r="B312" s="20">
        <v>45914</v>
      </c>
      <c r="C312" s="20">
        <v>45914</v>
      </c>
      <c r="D312" s="22" t="s">
        <v>456</v>
      </c>
      <c r="E312" s="23" t="s">
        <v>455</v>
      </c>
      <c r="F312" s="24"/>
      <c r="G312" s="24">
        <v>55000</v>
      </c>
      <c r="H312" s="28" t="s">
        <v>900</v>
      </c>
      <c r="I312" s="26" t="s">
        <v>897</v>
      </c>
      <c r="J312" s="3"/>
      <c r="K312" s="3"/>
      <c r="L312" s="9"/>
      <c r="M312" s="3"/>
      <c r="N312" s="3"/>
    </row>
    <row r="313" spans="1:14" ht="15.75" x14ac:dyDescent="0.25">
      <c r="A313" s="19">
        <f t="shared" si="4"/>
        <v>312</v>
      </c>
      <c r="B313" s="20">
        <v>45915</v>
      </c>
      <c r="C313" s="20">
        <v>45915</v>
      </c>
      <c r="D313" s="22" t="s">
        <v>458</v>
      </c>
      <c r="E313" s="23" t="s">
        <v>457</v>
      </c>
      <c r="F313" s="24">
        <v>193600</v>
      </c>
      <c r="G313" s="24"/>
      <c r="H313" s="28" t="s">
        <v>909</v>
      </c>
      <c r="I313" s="26" t="s">
        <v>897</v>
      </c>
      <c r="J313" s="3"/>
      <c r="K313" s="3"/>
      <c r="L313" s="9"/>
      <c r="M313" s="3"/>
      <c r="N313" s="3"/>
    </row>
    <row r="314" spans="1:14" ht="15.75" x14ac:dyDescent="0.25">
      <c r="A314" s="19">
        <f t="shared" si="4"/>
        <v>313</v>
      </c>
      <c r="B314" s="20">
        <v>45915</v>
      </c>
      <c r="C314" s="20">
        <v>45915</v>
      </c>
      <c r="D314" s="22" t="s">
        <v>460</v>
      </c>
      <c r="E314" s="23" t="s">
        <v>459</v>
      </c>
      <c r="F314" s="24"/>
      <c r="G314" s="24">
        <v>10000</v>
      </c>
      <c r="H314" s="28" t="s">
        <v>909</v>
      </c>
      <c r="I314" s="26" t="s">
        <v>897</v>
      </c>
      <c r="J314" s="3"/>
      <c r="K314" s="3"/>
      <c r="L314" s="9"/>
      <c r="M314" s="3"/>
      <c r="N314" s="3"/>
    </row>
    <row r="315" spans="1:14" ht="15.75" x14ac:dyDescent="0.25">
      <c r="A315" s="19">
        <f t="shared" si="4"/>
        <v>314</v>
      </c>
      <c r="B315" s="20">
        <v>45916</v>
      </c>
      <c r="C315" s="20">
        <v>45916</v>
      </c>
      <c r="D315" s="22" t="s">
        <v>462</v>
      </c>
      <c r="E315" s="23" t="s">
        <v>461</v>
      </c>
      <c r="F315" s="24"/>
      <c r="G315" s="24">
        <v>12200</v>
      </c>
      <c r="H315" s="29" t="s">
        <v>896</v>
      </c>
      <c r="I315" s="26" t="s">
        <v>897</v>
      </c>
      <c r="J315" s="3"/>
      <c r="K315" s="3"/>
      <c r="L315" s="9"/>
      <c r="M315" s="3"/>
      <c r="N315" s="3"/>
    </row>
    <row r="316" spans="1:14" ht="15.75" x14ac:dyDescent="0.25">
      <c r="A316" s="19">
        <f t="shared" si="4"/>
        <v>315</v>
      </c>
      <c r="B316" s="20">
        <v>45916</v>
      </c>
      <c r="C316" s="20">
        <v>45916</v>
      </c>
      <c r="D316" s="22">
        <v>484771944</v>
      </c>
      <c r="E316" s="23" t="s">
        <v>463</v>
      </c>
      <c r="F316" s="24">
        <v>27500</v>
      </c>
      <c r="G316" s="24"/>
      <c r="H316" s="28" t="s">
        <v>904</v>
      </c>
      <c r="I316" s="26" t="s">
        <v>897</v>
      </c>
      <c r="J316" s="3"/>
      <c r="K316" s="3"/>
      <c r="L316" s="9"/>
      <c r="M316" s="3"/>
      <c r="N316" s="3"/>
    </row>
    <row r="317" spans="1:14" ht="15.75" x14ac:dyDescent="0.25">
      <c r="A317" s="19">
        <f t="shared" si="4"/>
        <v>316</v>
      </c>
      <c r="B317" s="20">
        <v>45916</v>
      </c>
      <c r="C317" s="20">
        <v>45916</v>
      </c>
      <c r="D317" s="22" t="s">
        <v>465</v>
      </c>
      <c r="E317" s="23" t="s">
        <v>464</v>
      </c>
      <c r="F317" s="24">
        <v>3000</v>
      </c>
      <c r="G317" s="24"/>
      <c r="H317" s="28" t="s">
        <v>907</v>
      </c>
      <c r="I317" s="26" t="s">
        <v>897</v>
      </c>
      <c r="J317" s="3"/>
      <c r="K317" s="3"/>
      <c r="L317" s="9"/>
      <c r="M317" s="3"/>
      <c r="N317" s="3"/>
    </row>
    <row r="318" spans="1:14" ht="15.75" x14ac:dyDescent="0.25">
      <c r="A318" s="19">
        <f t="shared" si="4"/>
        <v>317</v>
      </c>
      <c r="B318" s="20">
        <v>45917</v>
      </c>
      <c r="C318" s="20">
        <v>45917</v>
      </c>
      <c r="D318" s="22" t="s">
        <v>467</v>
      </c>
      <c r="E318" s="23" t="s">
        <v>466</v>
      </c>
      <c r="F318" s="24"/>
      <c r="G318" s="24">
        <v>3100</v>
      </c>
      <c r="H318" s="29" t="s">
        <v>896</v>
      </c>
      <c r="I318" s="26" t="s">
        <v>897</v>
      </c>
      <c r="J318" s="3"/>
      <c r="K318" s="3"/>
      <c r="L318" s="9"/>
      <c r="M318" s="3"/>
      <c r="N318" s="3"/>
    </row>
    <row r="319" spans="1:14" ht="15.75" x14ac:dyDescent="0.25">
      <c r="A319" s="19">
        <f t="shared" si="4"/>
        <v>318</v>
      </c>
      <c r="B319" s="20">
        <v>45918</v>
      </c>
      <c r="C319" s="20">
        <v>45918</v>
      </c>
      <c r="D319" s="22" t="s">
        <v>469</v>
      </c>
      <c r="E319" s="23" t="s">
        <v>468</v>
      </c>
      <c r="F319" s="24"/>
      <c r="G319" s="24">
        <v>11849</v>
      </c>
      <c r="H319" s="29" t="s">
        <v>896</v>
      </c>
      <c r="I319" s="26" t="s">
        <v>897</v>
      </c>
      <c r="J319" s="3"/>
      <c r="K319" s="3"/>
      <c r="L319" s="9"/>
      <c r="M319" s="3"/>
      <c r="N319" s="3"/>
    </row>
    <row r="320" spans="1:14" ht="15.75" x14ac:dyDescent="0.25">
      <c r="A320" s="19">
        <f t="shared" si="4"/>
        <v>319</v>
      </c>
      <c r="B320" s="20">
        <v>45918</v>
      </c>
      <c r="C320" s="20">
        <v>45918</v>
      </c>
      <c r="D320" s="22" t="s">
        <v>471</v>
      </c>
      <c r="E320" s="23" t="s">
        <v>470</v>
      </c>
      <c r="F320" s="24"/>
      <c r="G320" s="24">
        <v>15000</v>
      </c>
      <c r="H320" s="29" t="s">
        <v>903</v>
      </c>
      <c r="I320" s="26" t="s">
        <v>897</v>
      </c>
      <c r="J320" s="3"/>
      <c r="K320" s="3"/>
      <c r="L320" s="9"/>
      <c r="M320" s="3"/>
      <c r="N320" s="3"/>
    </row>
    <row r="321" spans="1:14" ht="15.75" x14ac:dyDescent="0.25">
      <c r="A321" s="19">
        <f t="shared" si="4"/>
        <v>320</v>
      </c>
      <c r="B321" s="20">
        <v>45919</v>
      </c>
      <c r="C321" s="20">
        <v>45919</v>
      </c>
      <c r="D321" s="22" t="s">
        <v>473</v>
      </c>
      <c r="E321" s="23" t="s">
        <v>472</v>
      </c>
      <c r="F321" s="24"/>
      <c r="G321" s="24">
        <v>7900</v>
      </c>
      <c r="H321" s="29" t="s">
        <v>896</v>
      </c>
      <c r="I321" s="26" t="s">
        <v>897</v>
      </c>
      <c r="J321" s="3"/>
      <c r="K321" s="3"/>
      <c r="L321" s="9"/>
      <c r="M321" s="3"/>
      <c r="N321" s="3"/>
    </row>
    <row r="322" spans="1:14" ht="15.75" x14ac:dyDescent="0.25">
      <c r="A322" s="19">
        <f t="shared" si="4"/>
        <v>321</v>
      </c>
      <c r="B322" s="20">
        <v>45920</v>
      </c>
      <c r="C322" s="20">
        <v>45920</v>
      </c>
      <c r="D322" s="22" t="s">
        <v>475</v>
      </c>
      <c r="E322" s="23" t="s">
        <v>474</v>
      </c>
      <c r="F322" s="24"/>
      <c r="G322" s="24">
        <v>10500</v>
      </c>
      <c r="H322" s="29" t="s">
        <v>896</v>
      </c>
      <c r="I322" s="26" t="s">
        <v>897</v>
      </c>
      <c r="J322" s="3"/>
      <c r="K322" s="3"/>
      <c r="L322" s="9"/>
      <c r="M322" s="3"/>
      <c r="N322" s="3"/>
    </row>
    <row r="323" spans="1:14" ht="15.75" x14ac:dyDescent="0.25">
      <c r="A323" s="19">
        <f t="shared" si="4"/>
        <v>322</v>
      </c>
      <c r="B323" s="20">
        <v>45920</v>
      </c>
      <c r="C323" s="20">
        <v>45920</v>
      </c>
      <c r="D323" s="22">
        <v>485582574</v>
      </c>
      <c r="E323" s="23" t="s">
        <v>476</v>
      </c>
      <c r="F323" s="24">
        <v>5040</v>
      </c>
      <c r="G323" s="24"/>
      <c r="H323" s="28" t="s">
        <v>904</v>
      </c>
      <c r="I323" s="26" t="s">
        <v>897</v>
      </c>
      <c r="J323" s="3"/>
      <c r="K323" s="3"/>
      <c r="L323" s="9"/>
      <c r="M323" s="3"/>
      <c r="N323" s="3"/>
    </row>
    <row r="324" spans="1:14" ht="15.75" x14ac:dyDescent="0.25">
      <c r="A324" s="19">
        <f t="shared" ref="A324:A387" si="5">1+A323</f>
        <v>323</v>
      </c>
      <c r="B324" s="20">
        <v>45920</v>
      </c>
      <c r="C324" s="20">
        <v>45920</v>
      </c>
      <c r="D324" s="22">
        <v>485596979</v>
      </c>
      <c r="E324" s="23" t="s">
        <v>477</v>
      </c>
      <c r="F324" s="24">
        <v>5650</v>
      </c>
      <c r="G324" s="24"/>
      <c r="H324" s="29" t="s">
        <v>904</v>
      </c>
      <c r="I324" s="26" t="s">
        <v>897</v>
      </c>
      <c r="J324" s="3"/>
      <c r="K324" s="3"/>
      <c r="L324" s="9"/>
      <c r="M324" s="3"/>
      <c r="N324" s="3"/>
    </row>
    <row r="325" spans="1:14" ht="15.75" x14ac:dyDescent="0.25">
      <c r="A325" s="19">
        <f t="shared" si="5"/>
        <v>324</v>
      </c>
      <c r="B325" s="20">
        <v>45920</v>
      </c>
      <c r="C325" s="20">
        <v>45920</v>
      </c>
      <c r="D325" s="22">
        <v>485598705</v>
      </c>
      <c r="E325" s="23" t="s">
        <v>477</v>
      </c>
      <c r="F325" s="24">
        <v>5835</v>
      </c>
      <c r="G325" s="24"/>
      <c r="H325" s="28" t="s">
        <v>904</v>
      </c>
      <c r="I325" s="26" t="s">
        <v>897</v>
      </c>
      <c r="J325" s="3"/>
      <c r="K325" s="3"/>
      <c r="L325" s="9"/>
      <c r="M325" s="3"/>
      <c r="N325" s="3"/>
    </row>
    <row r="326" spans="1:14" ht="15.75" x14ac:dyDescent="0.25">
      <c r="A326" s="19">
        <f t="shared" si="5"/>
        <v>325</v>
      </c>
      <c r="B326" s="20">
        <v>45920</v>
      </c>
      <c r="C326" s="20">
        <v>45920</v>
      </c>
      <c r="D326" s="22">
        <v>485599096</v>
      </c>
      <c r="E326" s="23" t="s">
        <v>478</v>
      </c>
      <c r="F326" s="24">
        <v>5000</v>
      </c>
      <c r="G326" s="24"/>
      <c r="H326" s="28" t="s">
        <v>902</v>
      </c>
      <c r="I326" s="26" t="s">
        <v>897</v>
      </c>
      <c r="J326" s="3"/>
      <c r="K326" s="3"/>
      <c r="L326" s="9"/>
      <c r="M326" s="3"/>
      <c r="N326" s="3"/>
    </row>
    <row r="327" spans="1:14" ht="15.75" x14ac:dyDescent="0.25">
      <c r="A327" s="19">
        <f t="shared" si="5"/>
        <v>326</v>
      </c>
      <c r="B327" s="20">
        <v>45920</v>
      </c>
      <c r="C327" s="20">
        <v>45920</v>
      </c>
      <c r="D327" s="22">
        <v>485599317</v>
      </c>
      <c r="E327" s="23" t="s">
        <v>479</v>
      </c>
      <c r="F327" s="24">
        <v>5000</v>
      </c>
      <c r="G327" s="24"/>
      <c r="H327" s="29" t="s">
        <v>902</v>
      </c>
      <c r="I327" s="26" t="s">
        <v>897</v>
      </c>
      <c r="J327" s="3"/>
      <c r="K327" s="3"/>
      <c r="L327" s="9"/>
      <c r="M327" s="3"/>
      <c r="N327" s="3"/>
    </row>
    <row r="328" spans="1:14" ht="15.75" x14ac:dyDescent="0.25">
      <c r="A328" s="19">
        <f t="shared" si="5"/>
        <v>327</v>
      </c>
      <c r="B328" s="20">
        <v>45920</v>
      </c>
      <c r="C328" s="20">
        <v>45920</v>
      </c>
      <c r="D328" s="22">
        <v>485599919</v>
      </c>
      <c r="E328" s="23" t="s">
        <v>480</v>
      </c>
      <c r="F328" s="24">
        <v>5000</v>
      </c>
      <c r="G328" s="24"/>
      <c r="H328" s="23" t="s">
        <v>902</v>
      </c>
      <c r="I328" s="26" t="s">
        <v>897</v>
      </c>
      <c r="J328" s="3"/>
      <c r="K328" s="3"/>
      <c r="L328" s="9"/>
      <c r="M328" s="3"/>
      <c r="N328" s="3"/>
    </row>
    <row r="329" spans="1:14" ht="15.75" x14ac:dyDescent="0.25">
      <c r="A329" s="19">
        <f t="shared" si="5"/>
        <v>328</v>
      </c>
      <c r="B329" s="20">
        <v>45920</v>
      </c>
      <c r="C329" s="20">
        <v>45920</v>
      </c>
      <c r="D329" s="22">
        <v>485600816</v>
      </c>
      <c r="E329" s="23" t="s">
        <v>481</v>
      </c>
      <c r="F329" s="24">
        <v>7778</v>
      </c>
      <c r="G329" s="24"/>
      <c r="H329" s="28" t="s">
        <v>904</v>
      </c>
      <c r="I329" s="26" t="s">
        <v>897</v>
      </c>
      <c r="J329" s="3"/>
      <c r="K329" s="3"/>
      <c r="L329" s="9"/>
      <c r="M329" s="3"/>
      <c r="N329" s="3"/>
    </row>
    <row r="330" spans="1:14" ht="15.75" x14ac:dyDescent="0.25">
      <c r="A330" s="19">
        <f t="shared" si="5"/>
        <v>329</v>
      </c>
      <c r="B330" s="20">
        <v>45920</v>
      </c>
      <c r="C330" s="20">
        <v>45920</v>
      </c>
      <c r="D330" s="22">
        <v>485613157</v>
      </c>
      <c r="E330" s="23" t="s">
        <v>482</v>
      </c>
      <c r="F330" s="24">
        <v>1000</v>
      </c>
      <c r="G330" s="24"/>
      <c r="H330" s="23" t="s">
        <v>902</v>
      </c>
      <c r="I330" s="26" t="s">
        <v>897</v>
      </c>
      <c r="J330" s="3"/>
      <c r="K330" s="3"/>
      <c r="L330" s="9"/>
      <c r="M330" s="3"/>
      <c r="N330" s="3"/>
    </row>
    <row r="331" spans="1:14" ht="15.75" x14ac:dyDescent="0.25">
      <c r="A331" s="19">
        <f t="shared" si="5"/>
        <v>330</v>
      </c>
      <c r="B331" s="20">
        <v>45920</v>
      </c>
      <c r="C331" s="20">
        <v>45920</v>
      </c>
      <c r="D331" s="22" t="s">
        <v>484</v>
      </c>
      <c r="E331" s="23" t="s">
        <v>483</v>
      </c>
      <c r="F331" s="24"/>
      <c r="G331" s="24">
        <v>55000</v>
      </c>
      <c r="H331" s="28" t="s">
        <v>900</v>
      </c>
      <c r="I331" s="26" t="s">
        <v>897</v>
      </c>
      <c r="J331" s="3"/>
      <c r="K331" s="3"/>
      <c r="L331" s="9"/>
      <c r="M331" s="3"/>
      <c r="N331" s="3"/>
    </row>
    <row r="332" spans="1:14" ht="15.75" x14ac:dyDescent="0.25">
      <c r="A332" s="19">
        <f t="shared" si="5"/>
        <v>331</v>
      </c>
      <c r="B332" s="20">
        <v>45920</v>
      </c>
      <c r="C332" s="20">
        <v>45920</v>
      </c>
      <c r="D332" s="22">
        <v>485637484</v>
      </c>
      <c r="E332" s="23" t="s">
        <v>485</v>
      </c>
      <c r="F332" s="24">
        <v>70000</v>
      </c>
      <c r="G332" s="24"/>
      <c r="H332" s="28" t="s">
        <v>903</v>
      </c>
      <c r="I332" s="26" t="s">
        <v>897</v>
      </c>
      <c r="J332" s="3"/>
      <c r="K332" s="3"/>
      <c r="L332" s="9"/>
      <c r="M332" s="3"/>
      <c r="N332" s="3"/>
    </row>
    <row r="333" spans="1:14" ht="15.75" x14ac:dyDescent="0.25">
      <c r="A333" s="19">
        <f t="shared" si="5"/>
        <v>332</v>
      </c>
      <c r="B333" s="20">
        <v>45921</v>
      </c>
      <c r="C333" s="20">
        <v>45921</v>
      </c>
      <c r="D333" s="22" t="s">
        <v>487</v>
      </c>
      <c r="E333" s="23" t="s">
        <v>486</v>
      </c>
      <c r="F333" s="24"/>
      <c r="G333" s="24">
        <v>22923</v>
      </c>
      <c r="H333" s="29" t="s">
        <v>896</v>
      </c>
      <c r="I333" s="26" t="s">
        <v>897</v>
      </c>
      <c r="J333" s="3"/>
      <c r="K333" s="3"/>
      <c r="L333" s="9"/>
      <c r="M333" s="3"/>
      <c r="N333" s="3"/>
    </row>
    <row r="334" spans="1:14" ht="15.75" x14ac:dyDescent="0.25">
      <c r="A334" s="19">
        <f t="shared" si="5"/>
        <v>333</v>
      </c>
      <c r="B334" s="20">
        <v>45921</v>
      </c>
      <c r="C334" s="20">
        <v>45921</v>
      </c>
      <c r="D334" s="22" t="s">
        <v>489</v>
      </c>
      <c r="E334" s="23" t="s">
        <v>488</v>
      </c>
      <c r="F334" s="24">
        <v>8000</v>
      </c>
      <c r="G334" s="24"/>
      <c r="H334" s="28" t="s">
        <v>909</v>
      </c>
      <c r="I334" s="26" t="s">
        <v>897</v>
      </c>
      <c r="J334" s="3"/>
      <c r="K334" s="3"/>
      <c r="L334" s="9"/>
      <c r="M334" s="3"/>
      <c r="N334" s="3"/>
    </row>
    <row r="335" spans="1:14" ht="15.75" x14ac:dyDescent="0.25">
      <c r="A335" s="19">
        <f t="shared" si="5"/>
        <v>334</v>
      </c>
      <c r="B335" s="20">
        <v>45922</v>
      </c>
      <c r="C335" s="20">
        <v>45922</v>
      </c>
      <c r="D335" s="22" t="s">
        <v>491</v>
      </c>
      <c r="E335" s="23" t="s">
        <v>490</v>
      </c>
      <c r="F335" s="24"/>
      <c r="G335" s="24">
        <v>5000</v>
      </c>
      <c r="H335" s="29" t="s">
        <v>896</v>
      </c>
      <c r="I335" s="26" t="s">
        <v>897</v>
      </c>
      <c r="J335" s="3"/>
      <c r="K335" s="3"/>
      <c r="L335" s="9"/>
      <c r="M335" s="3"/>
      <c r="N335" s="3"/>
    </row>
    <row r="336" spans="1:14" ht="15.75" x14ac:dyDescent="0.25">
      <c r="A336" s="19">
        <f t="shared" si="5"/>
        <v>335</v>
      </c>
      <c r="B336" s="20">
        <v>45923</v>
      </c>
      <c r="C336" s="20">
        <v>45923</v>
      </c>
      <c r="D336" s="22" t="s">
        <v>493</v>
      </c>
      <c r="E336" s="23" t="s">
        <v>492</v>
      </c>
      <c r="F336" s="24"/>
      <c r="G336" s="24">
        <v>6500</v>
      </c>
      <c r="H336" s="29" t="s">
        <v>896</v>
      </c>
      <c r="I336" s="26" t="s">
        <v>897</v>
      </c>
      <c r="J336" s="3"/>
      <c r="K336" s="3"/>
      <c r="L336" s="9"/>
      <c r="M336" s="3"/>
      <c r="N336" s="3"/>
    </row>
    <row r="337" spans="1:14" ht="15.75" x14ac:dyDescent="0.25">
      <c r="A337" s="19">
        <f t="shared" si="5"/>
        <v>336</v>
      </c>
      <c r="B337" s="20">
        <v>45924</v>
      </c>
      <c r="C337" s="20">
        <v>45924</v>
      </c>
      <c r="D337" s="22" t="s">
        <v>495</v>
      </c>
      <c r="E337" s="23" t="s">
        <v>494</v>
      </c>
      <c r="F337" s="24"/>
      <c r="G337" s="24">
        <v>9300</v>
      </c>
      <c r="H337" s="29" t="s">
        <v>896</v>
      </c>
      <c r="I337" s="26" t="s">
        <v>897</v>
      </c>
      <c r="J337" s="3"/>
      <c r="K337" s="3"/>
      <c r="L337" s="9"/>
      <c r="M337" s="3"/>
      <c r="N337" s="3"/>
    </row>
    <row r="338" spans="1:14" ht="15.75" x14ac:dyDescent="0.25">
      <c r="A338" s="19">
        <f t="shared" si="5"/>
        <v>337</v>
      </c>
      <c r="B338" s="20">
        <v>45925</v>
      </c>
      <c r="C338" s="20">
        <v>45925</v>
      </c>
      <c r="D338" s="22" t="s">
        <v>497</v>
      </c>
      <c r="E338" s="23" t="s">
        <v>496</v>
      </c>
      <c r="F338" s="24"/>
      <c r="G338" s="24">
        <v>20240.7</v>
      </c>
      <c r="H338" s="29" t="s">
        <v>896</v>
      </c>
      <c r="I338" s="26" t="s">
        <v>897</v>
      </c>
      <c r="J338" s="3"/>
      <c r="K338" s="3"/>
      <c r="L338" s="9"/>
      <c r="M338" s="3"/>
      <c r="N338" s="3"/>
    </row>
    <row r="339" spans="1:14" ht="15.75" x14ac:dyDescent="0.25">
      <c r="A339" s="19">
        <f t="shared" si="5"/>
        <v>338</v>
      </c>
      <c r="B339" s="20">
        <v>45925</v>
      </c>
      <c r="C339" s="20">
        <v>45925</v>
      </c>
      <c r="D339" s="22" t="s">
        <v>499</v>
      </c>
      <c r="E339" s="23" t="s">
        <v>498</v>
      </c>
      <c r="F339" s="24"/>
      <c r="G339" s="24">
        <v>25000</v>
      </c>
      <c r="H339" s="23" t="s">
        <v>905</v>
      </c>
      <c r="I339" s="26" t="s">
        <v>897</v>
      </c>
      <c r="J339" s="3"/>
      <c r="K339" s="3"/>
      <c r="L339" s="9"/>
      <c r="M339" s="3"/>
      <c r="N339" s="3"/>
    </row>
    <row r="340" spans="1:14" ht="15.75" x14ac:dyDescent="0.25">
      <c r="A340" s="19">
        <f t="shared" si="5"/>
        <v>339</v>
      </c>
      <c r="B340" s="20">
        <v>45926</v>
      </c>
      <c r="C340" s="20">
        <v>45926</v>
      </c>
      <c r="D340" s="22" t="s">
        <v>501</v>
      </c>
      <c r="E340" s="23" t="s">
        <v>500</v>
      </c>
      <c r="F340" s="24"/>
      <c r="G340" s="24">
        <v>13500</v>
      </c>
      <c r="H340" s="29" t="s">
        <v>896</v>
      </c>
      <c r="I340" s="26" t="s">
        <v>897</v>
      </c>
      <c r="J340" s="3"/>
      <c r="K340" s="3"/>
      <c r="L340" s="9"/>
      <c r="M340" s="3"/>
      <c r="N340" s="3"/>
    </row>
    <row r="341" spans="1:14" ht="15.75" x14ac:dyDescent="0.25">
      <c r="A341" s="19">
        <f t="shared" si="5"/>
        <v>340</v>
      </c>
      <c r="B341" s="20">
        <v>45926</v>
      </c>
      <c r="C341" s="20">
        <v>45926</v>
      </c>
      <c r="D341" s="22">
        <v>486518355</v>
      </c>
      <c r="E341" s="23" t="s">
        <v>502</v>
      </c>
      <c r="F341" s="24">
        <v>89056</v>
      </c>
      <c r="G341" s="24"/>
      <c r="H341" s="28" t="s">
        <v>903</v>
      </c>
      <c r="I341" s="26" t="s">
        <v>897</v>
      </c>
      <c r="J341" s="3"/>
      <c r="K341" s="3"/>
      <c r="L341" s="9"/>
      <c r="M341" s="3"/>
      <c r="N341" s="3"/>
    </row>
    <row r="342" spans="1:14" ht="15.75" x14ac:dyDescent="0.25">
      <c r="A342" s="19">
        <f t="shared" si="5"/>
        <v>341</v>
      </c>
      <c r="B342" s="20">
        <v>45926</v>
      </c>
      <c r="C342" s="20">
        <v>45926</v>
      </c>
      <c r="D342" s="22" t="s">
        <v>504</v>
      </c>
      <c r="E342" s="23" t="s">
        <v>503</v>
      </c>
      <c r="F342" s="24">
        <v>17.7</v>
      </c>
      <c r="G342" s="24"/>
      <c r="H342" s="23" t="s">
        <v>916</v>
      </c>
      <c r="I342" s="26" t="s">
        <v>897</v>
      </c>
      <c r="J342" s="3"/>
      <c r="K342" s="3"/>
      <c r="L342" s="9"/>
      <c r="M342" s="3"/>
      <c r="N342" s="3"/>
    </row>
    <row r="343" spans="1:14" ht="15.75" x14ac:dyDescent="0.25">
      <c r="A343" s="19">
        <f t="shared" si="5"/>
        <v>342</v>
      </c>
      <c r="B343" s="20">
        <v>45927</v>
      </c>
      <c r="C343" s="20">
        <v>45927</v>
      </c>
      <c r="D343" s="22" t="s">
        <v>506</v>
      </c>
      <c r="E343" s="23" t="s">
        <v>505</v>
      </c>
      <c r="F343" s="24"/>
      <c r="G343" s="24">
        <v>46900</v>
      </c>
      <c r="H343" s="29" t="s">
        <v>896</v>
      </c>
      <c r="I343" s="26" t="s">
        <v>897</v>
      </c>
      <c r="J343" s="3"/>
      <c r="K343" s="3"/>
      <c r="L343" s="9"/>
      <c r="M343" s="3"/>
      <c r="N343" s="3"/>
    </row>
    <row r="344" spans="1:14" ht="15.75" x14ac:dyDescent="0.25">
      <c r="A344" s="19">
        <f t="shared" si="5"/>
        <v>343</v>
      </c>
      <c r="B344" s="20">
        <v>45927</v>
      </c>
      <c r="C344" s="20">
        <v>45927</v>
      </c>
      <c r="D344" s="22" t="s">
        <v>508</v>
      </c>
      <c r="E344" s="23" t="s">
        <v>507</v>
      </c>
      <c r="F344" s="24">
        <v>31686</v>
      </c>
      <c r="G344" s="24"/>
      <c r="H344" s="28" t="s">
        <v>907</v>
      </c>
      <c r="I344" s="26" t="s">
        <v>897</v>
      </c>
      <c r="J344" s="3"/>
      <c r="K344" s="3"/>
      <c r="L344" s="9"/>
      <c r="M344" s="3"/>
      <c r="N344" s="3"/>
    </row>
    <row r="345" spans="1:14" ht="15.75" x14ac:dyDescent="0.25">
      <c r="A345" s="19">
        <f t="shared" si="5"/>
        <v>344</v>
      </c>
      <c r="B345" s="20">
        <v>45928</v>
      </c>
      <c r="C345" s="20">
        <v>45928</v>
      </c>
      <c r="D345" s="22" t="s">
        <v>510</v>
      </c>
      <c r="E345" s="23" t="s">
        <v>509</v>
      </c>
      <c r="F345" s="24"/>
      <c r="G345" s="24">
        <v>13149</v>
      </c>
      <c r="H345" s="29" t="s">
        <v>896</v>
      </c>
      <c r="I345" s="26" t="s">
        <v>897</v>
      </c>
      <c r="J345" s="3"/>
      <c r="K345" s="3"/>
      <c r="L345" s="9"/>
      <c r="M345" s="3"/>
      <c r="N345" s="3"/>
    </row>
    <row r="346" spans="1:14" ht="15.75" x14ac:dyDescent="0.25">
      <c r="A346" s="19">
        <f t="shared" si="5"/>
        <v>345</v>
      </c>
      <c r="B346" s="20">
        <v>45929</v>
      </c>
      <c r="C346" s="20">
        <v>45929</v>
      </c>
      <c r="D346" s="22" t="s">
        <v>512</v>
      </c>
      <c r="E346" s="23" t="s">
        <v>511</v>
      </c>
      <c r="F346" s="24">
        <v>600</v>
      </c>
      <c r="G346" s="24"/>
      <c r="H346" s="28" t="s">
        <v>907</v>
      </c>
      <c r="I346" s="26" t="s">
        <v>897</v>
      </c>
      <c r="J346" s="3"/>
      <c r="K346" s="3"/>
      <c r="L346" s="9"/>
      <c r="M346" s="3"/>
      <c r="N346" s="3"/>
    </row>
    <row r="347" spans="1:14" ht="15.75" x14ac:dyDescent="0.25">
      <c r="A347" s="19">
        <f t="shared" si="5"/>
        <v>346</v>
      </c>
      <c r="B347" s="20">
        <v>45929</v>
      </c>
      <c r="C347" s="20">
        <v>45929</v>
      </c>
      <c r="D347" s="22" t="s">
        <v>514</v>
      </c>
      <c r="E347" s="23" t="s">
        <v>513</v>
      </c>
      <c r="F347" s="24"/>
      <c r="G347" s="24">
        <v>9450</v>
      </c>
      <c r="H347" s="29" t="s">
        <v>903</v>
      </c>
      <c r="I347" s="26" t="s">
        <v>897</v>
      </c>
      <c r="J347" s="3"/>
      <c r="K347" s="3"/>
      <c r="L347" s="9"/>
      <c r="M347" s="3"/>
      <c r="N347" s="3"/>
    </row>
    <row r="348" spans="1:14" ht="15.75" x14ac:dyDescent="0.25">
      <c r="A348" s="19">
        <f t="shared" si="5"/>
        <v>347</v>
      </c>
      <c r="B348" s="20">
        <v>45930</v>
      </c>
      <c r="C348" s="20">
        <v>45930</v>
      </c>
      <c r="D348" s="22" t="s">
        <v>516</v>
      </c>
      <c r="E348" s="23" t="s">
        <v>515</v>
      </c>
      <c r="F348" s="24"/>
      <c r="G348" s="24">
        <v>10432</v>
      </c>
      <c r="H348" s="29" t="s">
        <v>896</v>
      </c>
      <c r="I348" s="26" t="s">
        <v>897</v>
      </c>
      <c r="J348" s="3"/>
      <c r="K348" s="3"/>
      <c r="L348" s="9"/>
      <c r="M348" s="3"/>
      <c r="N348" s="3"/>
    </row>
    <row r="349" spans="1:14" ht="15.75" x14ac:dyDescent="0.25">
      <c r="A349" s="19">
        <f t="shared" si="5"/>
        <v>348</v>
      </c>
      <c r="B349" s="20">
        <v>45930</v>
      </c>
      <c r="C349" s="20">
        <v>45930</v>
      </c>
      <c r="D349" s="22">
        <v>487138512</v>
      </c>
      <c r="E349" s="23" t="s">
        <v>64</v>
      </c>
      <c r="F349" s="24">
        <v>20000</v>
      </c>
      <c r="G349" s="24"/>
      <c r="H349" s="28" t="s">
        <v>909</v>
      </c>
      <c r="I349" s="26" t="s">
        <v>897</v>
      </c>
      <c r="J349" s="3"/>
      <c r="K349" s="3"/>
      <c r="L349" s="9"/>
      <c r="M349" s="3"/>
      <c r="N349" s="3"/>
    </row>
    <row r="350" spans="1:14" ht="15.75" x14ac:dyDescent="0.25">
      <c r="A350" s="19">
        <f t="shared" si="5"/>
        <v>349</v>
      </c>
      <c r="B350" s="20">
        <v>45930</v>
      </c>
      <c r="C350" s="20">
        <v>45930</v>
      </c>
      <c r="D350" s="22" t="s">
        <v>518</v>
      </c>
      <c r="E350" s="23" t="s">
        <v>517</v>
      </c>
      <c r="F350" s="24">
        <v>5.9</v>
      </c>
      <c r="G350" s="24"/>
      <c r="H350" s="23" t="s">
        <v>916</v>
      </c>
      <c r="I350" s="26" t="s">
        <v>897</v>
      </c>
      <c r="J350" s="3"/>
      <c r="K350" s="3"/>
      <c r="L350" s="9"/>
      <c r="M350" s="3"/>
      <c r="N350" s="3"/>
    </row>
    <row r="351" spans="1:14" ht="15.75" x14ac:dyDescent="0.25">
      <c r="A351" s="19">
        <f t="shared" si="5"/>
        <v>350</v>
      </c>
      <c r="B351" s="20">
        <v>45931</v>
      </c>
      <c r="C351" s="20">
        <v>45931</v>
      </c>
      <c r="D351" s="22" t="s">
        <v>520</v>
      </c>
      <c r="E351" s="23" t="s">
        <v>519</v>
      </c>
      <c r="F351" s="24"/>
      <c r="G351" s="24">
        <v>11812</v>
      </c>
      <c r="H351" s="29" t="s">
        <v>896</v>
      </c>
      <c r="I351" s="26" t="s">
        <v>897</v>
      </c>
      <c r="J351" s="3"/>
      <c r="K351" s="3"/>
      <c r="L351" s="9"/>
      <c r="M351" s="3"/>
      <c r="N351" s="3"/>
    </row>
    <row r="352" spans="1:14" ht="15.75" x14ac:dyDescent="0.25">
      <c r="A352" s="19">
        <f t="shared" si="5"/>
        <v>351</v>
      </c>
      <c r="B352" s="20">
        <v>45932</v>
      </c>
      <c r="C352" s="20">
        <v>45932</v>
      </c>
      <c r="D352" s="22" t="s">
        <v>522</v>
      </c>
      <c r="E352" s="23" t="s">
        <v>521</v>
      </c>
      <c r="F352" s="24"/>
      <c r="G352" s="24">
        <v>25248</v>
      </c>
      <c r="H352" s="29" t="s">
        <v>896</v>
      </c>
      <c r="I352" s="26" t="s">
        <v>897</v>
      </c>
      <c r="J352" s="3"/>
      <c r="K352" s="3"/>
      <c r="L352" s="9"/>
      <c r="M352" s="3"/>
      <c r="N352" s="3"/>
    </row>
    <row r="353" spans="1:14" ht="15.75" x14ac:dyDescent="0.25">
      <c r="A353" s="19">
        <f t="shared" si="5"/>
        <v>352</v>
      </c>
      <c r="B353" s="20">
        <v>45932</v>
      </c>
      <c r="C353" s="20">
        <v>45932</v>
      </c>
      <c r="D353" s="22" t="s">
        <v>524</v>
      </c>
      <c r="E353" s="23" t="s">
        <v>523</v>
      </c>
      <c r="F353" s="24"/>
      <c r="G353" s="24">
        <v>1</v>
      </c>
      <c r="H353" s="28" t="s">
        <v>909</v>
      </c>
      <c r="I353" s="26" t="s">
        <v>897</v>
      </c>
      <c r="J353" s="3"/>
      <c r="K353" s="3"/>
      <c r="L353" s="9"/>
      <c r="M353" s="3"/>
      <c r="N353" s="3"/>
    </row>
    <row r="354" spans="1:14" ht="15.75" x14ac:dyDescent="0.25">
      <c r="A354" s="19">
        <f t="shared" si="5"/>
        <v>353</v>
      </c>
      <c r="B354" s="20">
        <v>45933</v>
      </c>
      <c r="C354" s="20">
        <v>45933</v>
      </c>
      <c r="D354" s="22" t="s">
        <v>526</v>
      </c>
      <c r="E354" s="23" t="s">
        <v>525</v>
      </c>
      <c r="F354" s="24">
        <v>2500</v>
      </c>
      <c r="G354" s="24"/>
      <c r="H354" s="28" t="s">
        <v>907</v>
      </c>
      <c r="I354" s="26" t="s">
        <v>897</v>
      </c>
      <c r="J354" s="3"/>
      <c r="K354" s="3"/>
      <c r="L354" s="9"/>
      <c r="M354" s="3"/>
      <c r="N354" s="3"/>
    </row>
    <row r="355" spans="1:14" ht="15.75" x14ac:dyDescent="0.25">
      <c r="A355" s="19">
        <f t="shared" si="5"/>
        <v>354</v>
      </c>
      <c r="B355" s="20">
        <v>45933</v>
      </c>
      <c r="C355" s="20">
        <v>45933</v>
      </c>
      <c r="D355" s="22" t="s">
        <v>528</v>
      </c>
      <c r="E355" s="23" t="s">
        <v>527</v>
      </c>
      <c r="F355" s="24"/>
      <c r="G355" s="24">
        <v>2700</v>
      </c>
      <c r="H355" s="23" t="s">
        <v>905</v>
      </c>
      <c r="I355" s="26" t="s">
        <v>897</v>
      </c>
      <c r="J355" s="3"/>
      <c r="K355" s="3"/>
      <c r="L355" s="9"/>
      <c r="M355" s="3"/>
      <c r="N355" s="3"/>
    </row>
    <row r="356" spans="1:14" ht="15.75" x14ac:dyDescent="0.25">
      <c r="A356" s="19">
        <f t="shared" si="5"/>
        <v>355</v>
      </c>
      <c r="B356" s="20">
        <v>45933</v>
      </c>
      <c r="C356" s="20">
        <v>45933</v>
      </c>
      <c r="D356" s="22" t="s">
        <v>530</v>
      </c>
      <c r="E356" s="23" t="s">
        <v>529</v>
      </c>
      <c r="F356" s="24"/>
      <c r="G356" s="24">
        <v>2000</v>
      </c>
      <c r="H356" s="23" t="s">
        <v>905</v>
      </c>
      <c r="I356" s="26" t="s">
        <v>897</v>
      </c>
      <c r="J356" s="3"/>
      <c r="K356" s="3"/>
      <c r="L356" s="9"/>
      <c r="M356" s="3"/>
      <c r="N356" s="3"/>
    </row>
    <row r="357" spans="1:14" ht="15.75" x14ac:dyDescent="0.25">
      <c r="A357" s="19">
        <f t="shared" si="5"/>
        <v>356</v>
      </c>
      <c r="B357" s="20">
        <v>45934</v>
      </c>
      <c r="C357" s="20">
        <v>45934</v>
      </c>
      <c r="D357" s="22" t="s">
        <v>532</v>
      </c>
      <c r="E357" s="23" t="s">
        <v>531</v>
      </c>
      <c r="F357" s="24"/>
      <c r="G357" s="24">
        <v>5276</v>
      </c>
      <c r="H357" s="29" t="s">
        <v>896</v>
      </c>
      <c r="I357" s="26" t="s">
        <v>897</v>
      </c>
      <c r="J357" s="3"/>
      <c r="K357" s="3"/>
      <c r="L357" s="9"/>
      <c r="M357" s="3"/>
      <c r="N357" s="3"/>
    </row>
    <row r="358" spans="1:14" ht="15.75" x14ac:dyDescent="0.25">
      <c r="A358" s="19">
        <f t="shared" si="5"/>
        <v>357</v>
      </c>
      <c r="B358" s="20">
        <v>45934</v>
      </c>
      <c r="C358" s="20">
        <v>45934</v>
      </c>
      <c r="D358" s="22" t="s">
        <v>534</v>
      </c>
      <c r="E358" s="23" t="s">
        <v>533</v>
      </c>
      <c r="F358" s="24">
        <v>35574</v>
      </c>
      <c r="G358" s="24"/>
      <c r="H358" s="28" t="s">
        <v>903</v>
      </c>
      <c r="I358" s="26" t="s">
        <v>897</v>
      </c>
      <c r="J358" s="3"/>
      <c r="K358" s="3"/>
      <c r="L358" s="9"/>
      <c r="M358" s="3"/>
      <c r="N358" s="3"/>
    </row>
    <row r="359" spans="1:14" ht="15.75" x14ac:dyDescent="0.25">
      <c r="A359" s="19">
        <f t="shared" si="5"/>
        <v>358</v>
      </c>
      <c r="B359" s="20">
        <v>45934</v>
      </c>
      <c r="C359" s="20">
        <v>45934</v>
      </c>
      <c r="D359" s="22" t="s">
        <v>536</v>
      </c>
      <c r="E359" s="23" t="s">
        <v>535</v>
      </c>
      <c r="F359" s="24"/>
      <c r="G359" s="24">
        <v>2500</v>
      </c>
      <c r="H359" s="23" t="s">
        <v>905</v>
      </c>
      <c r="I359" s="26" t="s">
        <v>897</v>
      </c>
      <c r="J359" s="3"/>
      <c r="K359" s="3"/>
      <c r="L359" s="9"/>
      <c r="M359" s="3"/>
      <c r="N359" s="3"/>
    </row>
    <row r="360" spans="1:14" ht="15.75" x14ac:dyDescent="0.25">
      <c r="A360" s="19">
        <f t="shared" si="5"/>
        <v>359</v>
      </c>
      <c r="B360" s="20">
        <v>45934</v>
      </c>
      <c r="C360" s="20">
        <v>45934</v>
      </c>
      <c r="D360" s="22" t="s">
        <v>538</v>
      </c>
      <c r="E360" s="23" t="s">
        <v>537</v>
      </c>
      <c r="F360" s="24">
        <v>10000</v>
      </c>
      <c r="G360" s="24"/>
      <c r="H360" s="28" t="s">
        <v>901</v>
      </c>
      <c r="I360" s="26" t="s">
        <v>897</v>
      </c>
      <c r="J360" s="3"/>
      <c r="K360" s="3"/>
      <c r="L360" s="9"/>
      <c r="M360" s="3"/>
      <c r="N360" s="3"/>
    </row>
    <row r="361" spans="1:14" ht="15.75" x14ac:dyDescent="0.25">
      <c r="A361" s="19">
        <f t="shared" si="5"/>
        <v>360</v>
      </c>
      <c r="B361" s="20">
        <v>45936</v>
      </c>
      <c r="C361" s="20">
        <v>45936</v>
      </c>
      <c r="D361" s="22" t="s">
        <v>540</v>
      </c>
      <c r="E361" s="23" t="s">
        <v>539</v>
      </c>
      <c r="F361" s="24"/>
      <c r="G361" s="24">
        <v>1880</v>
      </c>
      <c r="H361" s="29" t="s">
        <v>903</v>
      </c>
      <c r="I361" s="26" t="s">
        <v>897</v>
      </c>
      <c r="J361" s="3"/>
      <c r="K361" s="3"/>
      <c r="L361" s="9"/>
      <c r="M361" s="3"/>
      <c r="N361" s="3"/>
    </row>
    <row r="362" spans="1:14" ht="15.75" x14ac:dyDescent="0.25">
      <c r="A362" s="19">
        <f t="shared" si="5"/>
        <v>361</v>
      </c>
      <c r="B362" s="20">
        <v>45936</v>
      </c>
      <c r="C362" s="20">
        <v>45936</v>
      </c>
      <c r="D362" s="22">
        <v>527907917821</v>
      </c>
      <c r="E362" s="23" t="s">
        <v>541</v>
      </c>
      <c r="F362" s="24"/>
      <c r="G362" s="24">
        <v>39700</v>
      </c>
      <c r="H362" s="28" t="s">
        <v>900</v>
      </c>
      <c r="I362" s="26" t="s">
        <v>897</v>
      </c>
      <c r="J362" s="3"/>
      <c r="K362" s="3"/>
      <c r="L362" s="9"/>
      <c r="M362" s="3"/>
      <c r="N362" s="3"/>
    </row>
    <row r="363" spans="1:14" ht="15.75" x14ac:dyDescent="0.25">
      <c r="A363" s="19">
        <f t="shared" si="5"/>
        <v>362</v>
      </c>
      <c r="B363" s="20">
        <v>45936</v>
      </c>
      <c r="C363" s="20">
        <v>45936</v>
      </c>
      <c r="D363" s="22">
        <v>527907917823</v>
      </c>
      <c r="E363" s="23" t="s">
        <v>541</v>
      </c>
      <c r="F363" s="24"/>
      <c r="G363" s="24">
        <v>500</v>
      </c>
      <c r="H363" s="28" t="s">
        <v>900</v>
      </c>
      <c r="I363" s="26" t="s">
        <v>897</v>
      </c>
      <c r="J363" s="3"/>
      <c r="K363" s="3"/>
      <c r="L363" s="9"/>
      <c r="M363" s="3"/>
      <c r="N363" s="3"/>
    </row>
    <row r="364" spans="1:14" ht="15.75" x14ac:dyDescent="0.25">
      <c r="A364" s="19">
        <f t="shared" si="5"/>
        <v>363</v>
      </c>
      <c r="B364" s="20">
        <v>45936</v>
      </c>
      <c r="C364" s="20">
        <v>45936</v>
      </c>
      <c r="D364" s="22" t="s">
        <v>543</v>
      </c>
      <c r="E364" s="23" t="s">
        <v>542</v>
      </c>
      <c r="F364" s="24"/>
      <c r="G364" s="24">
        <v>3000</v>
      </c>
      <c r="H364" s="23" t="s">
        <v>905</v>
      </c>
      <c r="I364" s="26" t="s">
        <v>897</v>
      </c>
      <c r="J364" s="3"/>
      <c r="K364" s="3"/>
      <c r="L364" s="9"/>
      <c r="M364" s="3"/>
      <c r="N364" s="3"/>
    </row>
    <row r="365" spans="1:14" ht="15.75" x14ac:dyDescent="0.25">
      <c r="A365" s="19">
        <f t="shared" si="5"/>
        <v>364</v>
      </c>
      <c r="B365" s="20">
        <v>45936</v>
      </c>
      <c r="C365" s="20">
        <v>45936</v>
      </c>
      <c r="D365" s="22" t="s">
        <v>545</v>
      </c>
      <c r="E365" s="23" t="s">
        <v>544</v>
      </c>
      <c r="F365" s="24"/>
      <c r="G365" s="24">
        <v>1800</v>
      </c>
      <c r="H365" s="23" t="s">
        <v>905</v>
      </c>
      <c r="I365" s="26" t="s">
        <v>897</v>
      </c>
      <c r="J365" s="3"/>
      <c r="K365" s="3"/>
      <c r="L365" s="9"/>
      <c r="M365" s="3"/>
      <c r="N365" s="3"/>
    </row>
    <row r="366" spans="1:14" ht="15.75" x14ac:dyDescent="0.25">
      <c r="A366" s="19">
        <f t="shared" si="5"/>
        <v>365</v>
      </c>
      <c r="B366" s="20">
        <v>45936</v>
      </c>
      <c r="C366" s="20">
        <v>45936</v>
      </c>
      <c r="D366" s="22" t="s">
        <v>547</v>
      </c>
      <c r="E366" s="23" t="s">
        <v>546</v>
      </c>
      <c r="F366" s="24"/>
      <c r="G366" s="24">
        <v>300</v>
      </c>
      <c r="H366" s="23" t="s">
        <v>905</v>
      </c>
      <c r="I366" s="26" t="s">
        <v>897</v>
      </c>
      <c r="J366" s="3"/>
      <c r="K366" s="3"/>
      <c r="L366" s="9"/>
      <c r="M366" s="3"/>
      <c r="N366" s="3"/>
    </row>
    <row r="367" spans="1:14" ht="15.75" x14ac:dyDescent="0.25">
      <c r="A367" s="19">
        <f t="shared" si="5"/>
        <v>366</v>
      </c>
      <c r="B367" s="20">
        <v>45937</v>
      </c>
      <c r="C367" s="20">
        <v>45937</v>
      </c>
      <c r="D367" s="22" t="s">
        <v>549</v>
      </c>
      <c r="E367" s="23" t="s">
        <v>548</v>
      </c>
      <c r="F367" s="24"/>
      <c r="G367" s="24">
        <v>3400</v>
      </c>
      <c r="H367" s="29" t="s">
        <v>896</v>
      </c>
      <c r="I367" s="26" t="s">
        <v>897</v>
      </c>
      <c r="J367" s="3"/>
      <c r="K367" s="3"/>
      <c r="L367" s="9"/>
      <c r="M367" s="3"/>
      <c r="N367" s="3"/>
    </row>
    <row r="368" spans="1:14" ht="15.75" x14ac:dyDescent="0.25">
      <c r="A368" s="19">
        <f t="shared" si="5"/>
        <v>367</v>
      </c>
      <c r="B368" s="20">
        <v>45937</v>
      </c>
      <c r="C368" s="20">
        <v>45937</v>
      </c>
      <c r="D368" s="22" t="s">
        <v>551</v>
      </c>
      <c r="E368" s="23" t="s">
        <v>550</v>
      </c>
      <c r="F368" s="24"/>
      <c r="G368" s="24">
        <v>5488</v>
      </c>
      <c r="H368" s="23" t="s">
        <v>905</v>
      </c>
      <c r="I368" s="26" t="s">
        <v>897</v>
      </c>
      <c r="J368" s="3"/>
      <c r="K368" s="3"/>
      <c r="L368" s="9"/>
      <c r="M368" s="3"/>
      <c r="N368" s="3"/>
    </row>
    <row r="369" spans="1:14" ht="15.75" x14ac:dyDescent="0.25">
      <c r="A369" s="19">
        <f t="shared" si="5"/>
        <v>368</v>
      </c>
      <c r="B369" s="20">
        <v>45937</v>
      </c>
      <c r="C369" s="20">
        <v>45937</v>
      </c>
      <c r="D369" s="22" t="s">
        <v>553</v>
      </c>
      <c r="E369" s="23" t="s">
        <v>552</v>
      </c>
      <c r="F369" s="24"/>
      <c r="G369" s="24">
        <v>2000</v>
      </c>
      <c r="H369" s="23" t="s">
        <v>905</v>
      </c>
      <c r="I369" s="26" t="s">
        <v>897</v>
      </c>
      <c r="J369" s="3"/>
      <c r="K369" s="3"/>
      <c r="L369" s="9"/>
      <c r="M369" s="3"/>
      <c r="N369" s="3"/>
    </row>
    <row r="370" spans="1:14" ht="15.75" x14ac:dyDescent="0.25">
      <c r="A370" s="19">
        <f t="shared" si="5"/>
        <v>369</v>
      </c>
      <c r="B370" s="20">
        <v>45937</v>
      </c>
      <c r="C370" s="20">
        <v>45937</v>
      </c>
      <c r="D370" s="22" t="s">
        <v>555</v>
      </c>
      <c r="E370" s="23" t="s">
        <v>554</v>
      </c>
      <c r="F370" s="24"/>
      <c r="G370" s="24">
        <v>575</v>
      </c>
      <c r="H370" s="23" t="s">
        <v>905</v>
      </c>
      <c r="I370" s="26" t="s">
        <v>897</v>
      </c>
      <c r="J370" s="3"/>
      <c r="K370" s="3"/>
      <c r="L370" s="9"/>
      <c r="M370" s="3"/>
      <c r="N370" s="3"/>
    </row>
    <row r="371" spans="1:14" ht="15.75" x14ac:dyDescent="0.25">
      <c r="A371" s="19">
        <f t="shared" si="5"/>
        <v>370</v>
      </c>
      <c r="B371" s="20">
        <v>45937</v>
      </c>
      <c r="C371" s="20">
        <v>45937</v>
      </c>
      <c r="D371" s="22" t="s">
        <v>557</v>
      </c>
      <c r="E371" s="23" t="s">
        <v>556</v>
      </c>
      <c r="F371" s="24"/>
      <c r="G371" s="24">
        <v>3000</v>
      </c>
      <c r="H371" s="23" t="s">
        <v>905</v>
      </c>
      <c r="I371" s="26" t="s">
        <v>897</v>
      </c>
      <c r="J371" s="3"/>
      <c r="K371" s="3"/>
      <c r="L371" s="9"/>
      <c r="M371" s="3"/>
      <c r="N371" s="3"/>
    </row>
    <row r="372" spans="1:14" ht="15.75" x14ac:dyDescent="0.25">
      <c r="A372" s="19">
        <f t="shared" si="5"/>
        <v>371</v>
      </c>
      <c r="B372" s="20">
        <v>45938</v>
      </c>
      <c r="C372" s="20">
        <v>45938</v>
      </c>
      <c r="D372" s="22" t="s">
        <v>559</v>
      </c>
      <c r="E372" s="23" t="s">
        <v>558</v>
      </c>
      <c r="F372" s="24"/>
      <c r="G372" s="24">
        <v>1400</v>
      </c>
      <c r="H372" s="23" t="s">
        <v>905</v>
      </c>
      <c r="I372" s="26" t="s">
        <v>897</v>
      </c>
      <c r="J372" s="3"/>
      <c r="K372" s="3"/>
      <c r="L372" s="9"/>
      <c r="M372" s="3"/>
      <c r="N372" s="3"/>
    </row>
    <row r="373" spans="1:14" ht="15.75" x14ac:dyDescent="0.25">
      <c r="A373" s="19">
        <f t="shared" si="5"/>
        <v>372</v>
      </c>
      <c r="B373" s="20">
        <v>45938</v>
      </c>
      <c r="C373" s="20">
        <v>45938</v>
      </c>
      <c r="D373" s="22" t="s">
        <v>561</v>
      </c>
      <c r="E373" s="23" t="s">
        <v>560</v>
      </c>
      <c r="F373" s="24"/>
      <c r="G373" s="24">
        <v>2500</v>
      </c>
      <c r="H373" s="23" t="s">
        <v>905</v>
      </c>
      <c r="I373" s="26" t="s">
        <v>897</v>
      </c>
      <c r="J373" s="3"/>
      <c r="K373" s="3"/>
      <c r="L373" s="9"/>
      <c r="M373" s="3"/>
      <c r="N373" s="3"/>
    </row>
    <row r="374" spans="1:14" ht="15.75" x14ac:dyDescent="0.25">
      <c r="A374" s="19">
        <f t="shared" si="5"/>
        <v>373</v>
      </c>
      <c r="B374" s="20">
        <v>45938</v>
      </c>
      <c r="C374" s="20">
        <v>45938</v>
      </c>
      <c r="D374" s="22" t="s">
        <v>563</v>
      </c>
      <c r="E374" s="23" t="s">
        <v>562</v>
      </c>
      <c r="F374" s="24"/>
      <c r="G374" s="24">
        <v>5000</v>
      </c>
      <c r="H374" s="23" t="s">
        <v>905</v>
      </c>
      <c r="I374" s="26" t="s">
        <v>897</v>
      </c>
      <c r="J374" s="3"/>
      <c r="K374" s="3"/>
      <c r="L374" s="9"/>
      <c r="M374" s="3"/>
      <c r="N374" s="3"/>
    </row>
    <row r="375" spans="1:14" ht="15.75" x14ac:dyDescent="0.25">
      <c r="A375" s="19">
        <f t="shared" si="5"/>
        <v>374</v>
      </c>
      <c r="B375" s="20">
        <v>45938</v>
      </c>
      <c r="C375" s="20">
        <v>45938</v>
      </c>
      <c r="D375" s="22" t="s">
        <v>565</v>
      </c>
      <c r="E375" s="23" t="s">
        <v>564</v>
      </c>
      <c r="F375" s="24"/>
      <c r="G375" s="24">
        <v>3300</v>
      </c>
      <c r="H375" s="23" t="s">
        <v>905</v>
      </c>
      <c r="I375" s="26" t="s">
        <v>897</v>
      </c>
      <c r="J375" s="3"/>
      <c r="K375" s="3"/>
      <c r="L375" s="9"/>
      <c r="M375" s="3"/>
      <c r="N375" s="3"/>
    </row>
    <row r="376" spans="1:14" ht="15.75" x14ac:dyDescent="0.25">
      <c r="A376" s="19">
        <f t="shared" si="5"/>
        <v>375</v>
      </c>
      <c r="B376" s="20">
        <v>45938</v>
      </c>
      <c r="C376" s="20">
        <v>45938</v>
      </c>
      <c r="D376" s="22" t="s">
        <v>567</v>
      </c>
      <c r="E376" s="23" t="s">
        <v>566</v>
      </c>
      <c r="F376" s="24"/>
      <c r="G376" s="24">
        <v>2000</v>
      </c>
      <c r="H376" s="23" t="s">
        <v>905</v>
      </c>
      <c r="I376" s="26" t="s">
        <v>897</v>
      </c>
      <c r="J376" s="3"/>
      <c r="K376" s="3"/>
      <c r="L376" s="9"/>
      <c r="M376" s="3"/>
      <c r="N376" s="3"/>
    </row>
    <row r="377" spans="1:14" ht="15.75" x14ac:dyDescent="0.25">
      <c r="A377" s="19">
        <f t="shared" si="5"/>
        <v>376</v>
      </c>
      <c r="B377" s="20">
        <v>45938</v>
      </c>
      <c r="C377" s="20">
        <v>45938</v>
      </c>
      <c r="D377" s="22" t="s">
        <v>569</v>
      </c>
      <c r="E377" s="23" t="s">
        <v>568</v>
      </c>
      <c r="F377" s="24"/>
      <c r="G377" s="24">
        <v>2500</v>
      </c>
      <c r="H377" s="23" t="s">
        <v>905</v>
      </c>
      <c r="I377" s="26" t="s">
        <v>897</v>
      </c>
      <c r="J377" s="3"/>
      <c r="K377" s="3"/>
      <c r="L377" s="9"/>
      <c r="M377" s="3"/>
      <c r="N377" s="3"/>
    </row>
    <row r="378" spans="1:14" ht="15.75" x14ac:dyDescent="0.25">
      <c r="A378" s="19">
        <f t="shared" si="5"/>
        <v>377</v>
      </c>
      <c r="B378" s="20">
        <v>45939</v>
      </c>
      <c r="C378" s="20">
        <v>45939</v>
      </c>
      <c r="D378" s="22" t="s">
        <v>571</v>
      </c>
      <c r="E378" s="23" t="s">
        <v>570</v>
      </c>
      <c r="F378" s="24"/>
      <c r="G378" s="24">
        <v>2400</v>
      </c>
      <c r="H378" s="23" t="s">
        <v>905</v>
      </c>
      <c r="I378" s="26" t="s">
        <v>897</v>
      </c>
      <c r="J378" s="3"/>
      <c r="K378" s="3"/>
      <c r="L378" s="9"/>
      <c r="M378" s="3"/>
      <c r="N378" s="3"/>
    </row>
    <row r="379" spans="1:14" ht="15.75" x14ac:dyDescent="0.25">
      <c r="A379" s="19">
        <f t="shared" si="5"/>
        <v>378</v>
      </c>
      <c r="B379" s="20">
        <v>45939</v>
      </c>
      <c r="C379" s="20">
        <v>45939</v>
      </c>
      <c r="D379" s="22" t="s">
        <v>573</v>
      </c>
      <c r="E379" s="23" t="s">
        <v>572</v>
      </c>
      <c r="F379" s="24"/>
      <c r="G379" s="24">
        <v>2500</v>
      </c>
      <c r="H379" s="23" t="s">
        <v>905</v>
      </c>
      <c r="I379" s="26" t="s">
        <v>897</v>
      </c>
      <c r="J379" s="3"/>
      <c r="K379" s="3"/>
      <c r="L379" s="9"/>
      <c r="M379" s="3"/>
      <c r="N379" s="3"/>
    </row>
    <row r="380" spans="1:14" ht="15.75" x14ac:dyDescent="0.25">
      <c r="A380" s="19">
        <f t="shared" si="5"/>
        <v>379</v>
      </c>
      <c r="B380" s="20">
        <v>45939</v>
      </c>
      <c r="C380" s="20">
        <v>45939</v>
      </c>
      <c r="D380" s="22" t="s">
        <v>575</v>
      </c>
      <c r="E380" s="23" t="s">
        <v>574</v>
      </c>
      <c r="F380" s="24"/>
      <c r="G380" s="24">
        <v>2000</v>
      </c>
      <c r="H380" s="23" t="s">
        <v>905</v>
      </c>
      <c r="I380" s="26" t="s">
        <v>897</v>
      </c>
      <c r="J380" s="3"/>
      <c r="K380" s="3"/>
      <c r="L380" s="9"/>
      <c r="M380" s="3"/>
      <c r="N380" s="3"/>
    </row>
    <row r="381" spans="1:14" ht="15.75" x14ac:dyDescent="0.25">
      <c r="A381" s="19">
        <f t="shared" si="5"/>
        <v>380</v>
      </c>
      <c r="B381" s="20">
        <v>45939</v>
      </c>
      <c r="C381" s="20">
        <v>45939</v>
      </c>
      <c r="D381" s="22" t="s">
        <v>577</v>
      </c>
      <c r="E381" s="23" t="s">
        <v>576</v>
      </c>
      <c r="F381" s="24"/>
      <c r="G381" s="24">
        <v>500</v>
      </c>
      <c r="H381" s="23" t="s">
        <v>905</v>
      </c>
      <c r="I381" s="26" t="s">
        <v>897</v>
      </c>
      <c r="J381" s="3"/>
      <c r="K381" s="3"/>
      <c r="L381" s="9"/>
      <c r="M381" s="3"/>
      <c r="N381" s="3"/>
    </row>
    <row r="382" spans="1:14" ht="15.75" x14ac:dyDescent="0.25">
      <c r="A382" s="19">
        <f t="shared" si="5"/>
        <v>381</v>
      </c>
      <c r="B382" s="20">
        <v>45940</v>
      </c>
      <c r="C382" s="20">
        <v>45940</v>
      </c>
      <c r="D382" s="22">
        <v>489299148</v>
      </c>
      <c r="E382" s="23" t="s">
        <v>27</v>
      </c>
      <c r="F382" s="24">
        <v>25320</v>
      </c>
      <c r="G382" s="24"/>
      <c r="H382" s="28" t="s">
        <v>902</v>
      </c>
      <c r="I382" s="26" t="s">
        <v>897</v>
      </c>
      <c r="J382" s="3"/>
      <c r="K382" s="3"/>
      <c r="L382" s="9"/>
      <c r="M382" s="3"/>
      <c r="N382" s="3"/>
    </row>
    <row r="383" spans="1:14" ht="15.75" x14ac:dyDescent="0.25">
      <c r="A383" s="19">
        <f t="shared" si="5"/>
        <v>382</v>
      </c>
      <c r="B383" s="20">
        <v>45940</v>
      </c>
      <c r="C383" s="20">
        <v>45940</v>
      </c>
      <c r="D383" s="22">
        <v>489299467</v>
      </c>
      <c r="E383" s="23" t="s">
        <v>27</v>
      </c>
      <c r="F383" s="24">
        <v>25320</v>
      </c>
      <c r="G383" s="24"/>
      <c r="H383" s="28" t="s">
        <v>902</v>
      </c>
      <c r="I383" s="26" t="s">
        <v>897</v>
      </c>
      <c r="J383" s="3"/>
      <c r="K383" s="3"/>
      <c r="L383" s="9"/>
      <c r="M383" s="3"/>
      <c r="N383" s="3"/>
    </row>
    <row r="384" spans="1:14" ht="15.75" x14ac:dyDescent="0.25">
      <c r="A384" s="19">
        <f t="shared" si="5"/>
        <v>383</v>
      </c>
      <c r="B384" s="20">
        <v>45940</v>
      </c>
      <c r="C384" s="20">
        <v>45940</v>
      </c>
      <c r="D384" s="22" t="s">
        <v>579</v>
      </c>
      <c r="E384" s="23" t="s">
        <v>578</v>
      </c>
      <c r="F384" s="24"/>
      <c r="G384" s="24">
        <v>10000</v>
      </c>
      <c r="H384" s="23" t="s">
        <v>905</v>
      </c>
      <c r="I384" s="26" t="s">
        <v>897</v>
      </c>
      <c r="J384" s="3"/>
      <c r="K384" s="3"/>
      <c r="L384" s="9"/>
      <c r="M384" s="3"/>
      <c r="N384" s="3"/>
    </row>
    <row r="385" spans="1:14" ht="15.75" x14ac:dyDescent="0.25">
      <c r="A385" s="19">
        <f t="shared" si="5"/>
        <v>384</v>
      </c>
      <c r="B385" s="20">
        <v>45940</v>
      </c>
      <c r="C385" s="20">
        <v>45940</v>
      </c>
      <c r="D385" s="22">
        <v>489366209</v>
      </c>
      <c r="E385" s="23" t="s">
        <v>27</v>
      </c>
      <c r="F385" s="24">
        <v>22000</v>
      </c>
      <c r="G385" s="24"/>
      <c r="H385" s="28" t="s">
        <v>902</v>
      </c>
      <c r="I385" s="26" t="s">
        <v>897</v>
      </c>
      <c r="J385" s="3"/>
      <c r="K385" s="3"/>
      <c r="L385" s="9"/>
      <c r="M385" s="3"/>
      <c r="N385" s="3"/>
    </row>
    <row r="386" spans="1:14" ht="15.75" x14ac:dyDescent="0.25">
      <c r="A386" s="19">
        <f t="shared" si="5"/>
        <v>385</v>
      </c>
      <c r="B386" s="20">
        <v>45940</v>
      </c>
      <c r="C386" s="20">
        <v>45940</v>
      </c>
      <c r="D386" s="22" t="s">
        <v>581</v>
      </c>
      <c r="E386" s="23" t="s">
        <v>580</v>
      </c>
      <c r="F386" s="24"/>
      <c r="G386" s="24">
        <v>47900</v>
      </c>
      <c r="H386" s="23" t="s">
        <v>905</v>
      </c>
      <c r="I386" s="26" t="s">
        <v>897</v>
      </c>
      <c r="J386" s="3"/>
      <c r="K386" s="3"/>
      <c r="L386" s="9"/>
      <c r="M386" s="3"/>
      <c r="N386" s="3"/>
    </row>
    <row r="387" spans="1:14" ht="15.75" x14ac:dyDescent="0.25">
      <c r="A387" s="19">
        <f t="shared" si="5"/>
        <v>386</v>
      </c>
      <c r="B387" s="20">
        <v>45941</v>
      </c>
      <c r="C387" s="20">
        <v>45941</v>
      </c>
      <c r="D387" s="22" t="s">
        <v>583</v>
      </c>
      <c r="E387" s="23" t="s">
        <v>582</v>
      </c>
      <c r="F387" s="24"/>
      <c r="G387" s="24">
        <v>2800</v>
      </c>
      <c r="H387" s="29" t="s">
        <v>896</v>
      </c>
      <c r="I387" s="26" t="s">
        <v>897</v>
      </c>
      <c r="J387" s="3"/>
      <c r="K387" s="3"/>
      <c r="L387" s="9"/>
      <c r="M387" s="3"/>
      <c r="N387" s="3"/>
    </row>
    <row r="388" spans="1:14" ht="15.75" x14ac:dyDescent="0.25">
      <c r="A388" s="19">
        <f t="shared" ref="A388:A428" si="6">1+A387</f>
        <v>387</v>
      </c>
      <c r="B388" s="20">
        <v>45941</v>
      </c>
      <c r="C388" s="20">
        <v>45941</v>
      </c>
      <c r="D388" s="22" t="s">
        <v>585</v>
      </c>
      <c r="E388" s="23" t="s">
        <v>584</v>
      </c>
      <c r="F388" s="24">
        <v>85000</v>
      </c>
      <c r="G388" s="24"/>
      <c r="H388" s="28" t="s">
        <v>909</v>
      </c>
      <c r="I388" s="26" t="s">
        <v>897</v>
      </c>
      <c r="J388" s="3"/>
      <c r="K388" s="3"/>
      <c r="L388" s="9"/>
      <c r="M388" s="3"/>
      <c r="N388" s="3"/>
    </row>
    <row r="389" spans="1:14" ht="15.75" x14ac:dyDescent="0.25">
      <c r="A389" s="19">
        <f t="shared" si="6"/>
        <v>388</v>
      </c>
      <c r="B389" s="20">
        <v>45941</v>
      </c>
      <c r="C389" s="20">
        <v>45941</v>
      </c>
      <c r="D389" s="22" t="s">
        <v>587</v>
      </c>
      <c r="E389" s="23" t="s">
        <v>586</v>
      </c>
      <c r="F389" s="24"/>
      <c r="G389" s="24">
        <v>2000</v>
      </c>
      <c r="H389" s="23" t="s">
        <v>905</v>
      </c>
      <c r="I389" s="26" t="s">
        <v>897</v>
      </c>
      <c r="J389" s="3"/>
      <c r="K389" s="3"/>
      <c r="L389" s="9"/>
      <c r="M389" s="3"/>
      <c r="N389" s="3"/>
    </row>
    <row r="390" spans="1:14" ht="15.75" x14ac:dyDescent="0.25">
      <c r="A390" s="19">
        <f t="shared" si="6"/>
        <v>389</v>
      </c>
      <c r="B390" s="20">
        <v>45941</v>
      </c>
      <c r="C390" s="20">
        <v>45941</v>
      </c>
      <c r="D390" s="22" t="s">
        <v>589</v>
      </c>
      <c r="E390" s="23" t="s">
        <v>588</v>
      </c>
      <c r="F390" s="24"/>
      <c r="G390" s="24">
        <v>5449</v>
      </c>
      <c r="H390" s="23" t="s">
        <v>905</v>
      </c>
      <c r="I390" s="26" t="s">
        <v>897</v>
      </c>
      <c r="J390" s="3"/>
      <c r="K390" s="3"/>
      <c r="L390" s="9"/>
      <c r="M390" s="3"/>
      <c r="N390" s="3"/>
    </row>
    <row r="391" spans="1:14" ht="15.75" x14ac:dyDescent="0.25">
      <c r="A391" s="19">
        <f t="shared" si="6"/>
        <v>390</v>
      </c>
      <c r="B391" s="20">
        <v>45941</v>
      </c>
      <c r="C391" s="20">
        <v>45941</v>
      </c>
      <c r="D391" s="22" t="s">
        <v>591</v>
      </c>
      <c r="E391" s="23" t="s">
        <v>590</v>
      </c>
      <c r="F391" s="24">
        <v>4158</v>
      </c>
      <c r="G391" s="24"/>
      <c r="H391" s="28" t="s">
        <v>907</v>
      </c>
      <c r="I391" s="26" t="s">
        <v>897</v>
      </c>
      <c r="J391" s="3"/>
      <c r="K391" s="3"/>
      <c r="L391" s="9"/>
      <c r="M391" s="3"/>
      <c r="N391" s="3"/>
    </row>
    <row r="392" spans="1:14" ht="15.75" x14ac:dyDescent="0.25">
      <c r="A392" s="19">
        <f t="shared" si="6"/>
        <v>391</v>
      </c>
      <c r="B392" s="20">
        <v>45943</v>
      </c>
      <c r="C392" s="20">
        <v>45943</v>
      </c>
      <c r="D392" s="22" t="s">
        <v>593</v>
      </c>
      <c r="E392" s="23" t="s">
        <v>592</v>
      </c>
      <c r="F392" s="24"/>
      <c r="G392" s="24">
        <v>6000</v>
      </c>
      <c r="H392" s="23" t="s">
        <v>905</v>
      </c>
      <c r="I392" s="26" t="s">
        <v>897</v>
      </c>
      <c r="J392" s="3"/>
      <c r="K392" s="3"/>
      <c r="L392" s="9"/>
      <c r="M392" s="3"/>
      <c r="N392" s="3"/>
    </row>
    <row r="393" spans="1:14" ht="15.75" x14ac:dyDescent="0.25">
      <c r="A393" s="19">
        <f t="shared" si="6"/>
        <v>392</v>
      </c>
      <c r="B393" s="20">
        <v>45944</v>
      </c>
      <c r="C393" s="20">
        <v>45944</v>
      </c>
      <c r="D393" s="22" t="s">
        <v>595</v>
      </c>
      <c r="E393" s="23" t="s">
        <v>594</v>
      </c>
      <c r="F393" s="24"/>
      <c r="G393" s="24">
        <v>2500</v>
      </c>
      <c r="H393" s="23" t="s">
        <v>905</v>
      </c>
      <c r="I393" s="26" t="s">
        <v>897</v>
      </c>
      <c r="J393" s="3"/>
      <c r="K393" s="3"/>
      <c r="L393" s="9"/>
      <c r="M393" s="3"/>
      <c r="N393" s="3"/>
    </row>
    <row r="394" spans="1:14" ht="15.75" x14ac:dyDescent="0.25">
      <c r="A394" s="19">
        <f t="shared" si="6"/>
        <v>393</v>
      </c>
      <c r="B394" s="20">
        <v>45944</v>
      </c>
      <c r="C394" s="20">
        <v>45944</v>
      </c>
      <c r="D394" s="22" t="s">
        <v>597</v>
      </c>
      <c r="E394" s="23" t="s">
        <v>596</v>
      </c>
      <c r="F394" s="24">
        <v>2500</v>
      </c>
      <c r="G394" s="24"/>
      <c r="H394" s="28" t="s">
        <v>909</v>
      </c>
      <c r="I394" s="26" t="s">
        <v>897</v>
      </c>
      <c r="J394" s="3"/>
      <c r="K394" s="3"/>
      <c r="L394" s="9"/>
      <c r="M394" s="3"/>
      <c r="N394" s="3"/>
    </row>
    <row r="395" spans="1:14" ht="15.75" x14ac:dyDescent="0.25">
      <c r="A395" s="19">
        <f t="shared" si="6"/>
        <v>394</v>
      </c>
      <c r="B395" s="20">
        <v>45944</v>
      </c>
      <c r="C395" s="20">
        <v>45944</v>
      </c>
      <c r="D395" s="22" t="s">
        <v>599</v>
      </c>
      <c r="E395" s="23" t="s">
        <v>598</v>
      </c>
      <c r="F395" s="24">
        <v>2500</v>
      </c>
      <c r="G395" s="24"/>
      <c r="H395" s="28" t="s">
        <v>909</v>
      </c>
      <c r="I395" s="26" t="s">
        <v>897</v>
      </c>
      <c r="J395" s="3"/>
      <c r="K395" s="3"/>
      <c r="L395" s="9"/>
      <c r="M395" s="3"/>
      <c r="N395" s="3"/>
    </row>
    <row r="396" spans="1:14" ht="15.75" x14ac:dyDescent="0.25">
      <c r="A396" s="19">
        <f t="shared" si="6"/>
        <v>395</v>
      </c>
      <c r="B396" s="20">
        <v>45944</v>
      </c>
      <c r="C396" s="20">
        <v>45944</v>
      </c>
      <c r="D396" s="22" t="s">
        <v>601</v>
      </c>
      <c r="E396" s="23" t="s">
        <v>600</v>
      </c>
      <c r="F396" s="24"/>
      <c r="G396" s="24">
        <v>3400</v>
      </c>
      <c r="H396" s="23" t="s">
        <v>905</v>
      </c>
      <c r="I396" s="26" t="s">
        <v>897</v>
      </c>
      <c r="J396" s="3"/>
      <c r="K396" s="3"/>
      <c r="L396" s="9"/>
      <c r="M396" s="3"/>
      <c r="N396" s="3"/>
    </row>
    <row r="397" spans="1:14" ht="15.75" x14ac:dyDescent="0.25">
      <c r="A397" s="19">
        <f t="shared" si="6"/>
        <v>396</v>
      </c>
      <c r="B397" s="20">
        <v>45944</v>
      </c>
      <c r="C397" s="20">
        <v>45944</v>
      </c>
      <c r="D397" s="22" t="s">
        <v>603</v>
      </c>
      <c r="E397" s="23" t="s">
        <v>602</v>
      </c>
      <c r="F397" s="24"/>
      <c r="G397" s="24">
        <v>2900</v>
      </c>
      <c r="H397" s="23" t="s">
        <v>905</v>
      </c>
      <c r="I397" s="26" t="s">
        <v>897</v>
      </c>
      <c r="J397" s="3"/>
      <c r="K397" s="3"/>
      <c r="L397" s="9"/>
      <c r="M397" s="3"/>
      <c r="N397" s="3"/>
    </row>
    <row r="398" spans="1:14" ht="15.75" x14ac:dyDescent="0.25">
      <c r="A398" s="19">
        <f t="shared" si="6"/>
        <v>397</v>
      </c>
      <c r="B398" s="20">
        <v>45944</v>
      </c>
      <c r="C398" s="20">
        <v>45944</v>
      </c>
      <c r="D398" s="22" t="s">
        <v>605</v>
      </c>
      <c r="E398" s="23" t="s">
        <v>604</v>
      </c>
      <c r="F398" s="24"/>
      <c r="G398" s="24">
        <v>3394</v>
      </c>
      <c r="H398" s="23" t="s">
        <v>905</v>
      </c>
      <c r="I398" s="26" t="s">
        <v>897</v>
      </c>
      <c r="J398" s="3"/>
      <c r="K398" s="3"/>
      <c r="L398" s="9"/>
      <c r="M398" s="3"/>
      <c r="N398" s="3"/>
    </row>
    <row r="399" spans="1:14" ht="15.75" x14ac:dyDescent="0.25">
      <c r="A399" s="19">
        <f t="shared" si="6"/>
        <v>398</v>
      </c>
      <c r="B399" s="20">
        <v>45945</v>
      </c>
      <c r="C399" s="20">
        <v>45945</v>
      </c>
      <c r="D399" s="22" t="s">
        <v>607</v>
      </c>
      <c r="E399" s="23" t="s">
        <v>606</v>
      </c>
      <c r="F399" s="24"/>
      <c r="G399" s="24">
        <v>2900</v>
      </c>
      <c r="H399" s="29" t="s">
        <v>896</v>
      </c>
      <c r="I399" s="26" t="s">
        <v>897</v>
      </c>
      <c r="J399" s="3"/>
      <c r="K399" s="3"/>
      <c r="L399" s="9"/>
      <c r="M399" s="3"/>
      <c r="N399" s="3"/>
    </row>
    <row r="400" spans="1:14" ht="15.75" x14ac:dyDescent="0.25">
      <c r="A400" s="19">
        <f t="shared" si="6"/>
        <v>399</v>
      </c>
      <c r="B400" s="20">
        <v>45945</v>
      </c>
      <c r="C400" s="20">
        <v>45945</v>
      </c>
      <c r="D400" s="22" t="s">
        <v>609</v>
      </c>
      <c r="E400" s="23" t="s">
        <v>608</v>
      </c>
      <c r="F400" s="24"/>
      <c r="G400" s="24">
        <v>4800</v>
      </c>
      <c r="H400" s="23" t="s">
        <v>905</v>
      </c>
      <c r="I400" s="26" t="s">
        <v>897</v>
      </c>
      <c r="J400" s="3"/>
      <c r="K400" s="3"/>
      <c r="L400" s="9"/>
      <c r="M400" s="3"/>
      <c r="N400" s="3"/>
    </row>
    <row r="401" spans="1:14" ht="15.75" x14ac:dyDescent="0.25">
      <c r="A401" s="19">
        <f t="shared" si="6"/>
        <v>400</v>
      </c>
      <c r="B401" s="20">
        <v>45946</v>
      </c>
      <c r="C401" s="20">
        <v>45946</v>
      </c>
      <c r="D401" s="22">
        <v>490558408</v>
      </c>
      <c r="E401" s="23" t="s">
        <v>610</v>
      </c>
      <c r="F401" s="24">
        <v>50000</v>
      </c>
      <c r="G401" s="24"/>
      <c r="H401" s="28" t="s">
        <v>903</v>
      </c>
      <c r="I401" s="26" t="s">
        <v>897</v>
      </c>
      <c r="J401" s="3"/>
      <c r="K401" s="3"/>
      <c r="L401" s="9"/>
      <c r="M401" s="3"/>
      <c r="N401" s="3"/>
    </row>
    <row r="402" spans="1:14" ht="15.75" x14ac:dyDescent="0.25">
      <c r="A402" s="19">
        <f t="shared" si="6"/>
        <v>401</v>
      </c>
      <c r="B402" s="20">
        <v>45946</v>
      </c>
      <c r="C402" s="20">
        <v>45946</v>
      </c>
      <c r="D402" s="22" t="s">
        <v>612</v>
      </c>
      <c r="E402" s="23" t="s">
        <v>611</v>
      </c>
      <c r="F402" s="24"/>
      <c r="G402" s="24">
        <v>2500</v>
      </c>
      <c r="H402" s="23" t="s">
        <v>905</v>
      </c>
      <c r="I402" s="26" t="s">
        <v>897</v>
      </c>
      <c r="J402" s="3"/>
      <c r="K402" s="3"/>
      <c r="L402" s="9"/>
      <c r="M402" s="3"/>
      <c r="N402" s="3"/>
    </row>
    <row r="403" spans="1:14" ht="15.75" x14ac:dyDescent="0.25">
      <c r="A403" s="19">
        <f t="shared" si="6"/>
        <v>402</v>
      </c>
      <c r="B403" s="20">
        <v>45946</v>
      </c>
      <c r="C403" s="20">
        <v>45946</v>
      </c>
      <c r="D403" s="22" t="s">
        <v>614</v>
      </c>
      <c r="E403" s="23" t="s">
        <v>613</v>
      </c>
      <c r="F403" s="24"/>
      <c r="G403" s="24">
        <v>2900</v>
      </c>
      <c r="H403" s="23" t="s">
        <v>905</v>
      </c>
      <c r="I403" s="26" t="s">
        <v>897</v>
      </c>
      <c r="J403" s="3"/>
      <c r="K403" s="3"/>
      <c r="L403" s="9"/>
      <c r="M403" s="3"/>
      <c r="N403" s="3"/>
    </row>
    <row r="404" spans="1:14" ht="15.75" x14ac:dyDescent="0.25">
      <c r="A404" s="19">
        <f t="shared" si="6"/>
        <v>403</v>
      </c>
      <c r="B404" s="20">
        <v>45948</v>
      </c>
      <c r="C404" s="20">
        <v>45948</v>
      </c>
      <c r="D404" s="22" t="s">
        <v>616</v>
      </c>
      <c r="E404" s="23" t="s">
        <v>615</v>
      </c>
      <c r="F404" s="24"/>
      <c r="G404" s="24">
        <v>50000</v>
      </c>
      <c r="H404" s="23" t="s">
        <v>905</v>
      </c>
      <c r="I404" s="26" t="s">
        <v>897</v>
      </c>
      <c r="J404" s="3"/>
      <c r="K404" s="3"/>
      <c r="L404" s="9"/>
      <c r="M404" s="3"/>
      <c r="N404" s="3"/>
    </row>
    <row r="405" spans="1:14" ht="15.75" x14ac:dyDescent="0.25">
      <c r="A405" s="19">
        <f t="shared" si="6"/>
        <v>404</v>
      </c>
      <c r="B405" s="20">
        <v>45948</v>
      </c>
      <c r="C405" s="20">
        <v>45948</v>
      </c>
      <c r="D405" s="22">
        <v>491155926</v>
      </c>
      <c r="E405" s="23" t="s">
        <v>610</v>
      </c>
      <c r="F405" s="24">
        <v>50000</v>
      </c>
      <c r="G405" s="24"/>
      <c r="H405" s="28" t="s">
        <v>903</v>
      </c>
      <c r="I405" s="26" t="s">
        <v>897</v>
      </c>
      <c r="J405" s="3"/>
      <c r="K405" s="3"/>
      <c r="L405" s="9"/>
      <c r="M405" s="3"/>
      <c r="N405" s="3"/>
    </row>
    <row r="406" spans="1:14" ht="15.75" x14ac:dyDescent="0.25">
      <c r="A406" s="19">
        <f t="shared" si="6"/>
        <v>405</v>
      </c>
      <c r="B406" s="20">
        <v>45949</v>
      </c>
      <c r="C406" s="20">
        <v>45949</v>
      </c>
      <c r="D406" s="22" t="s">
        <v>618</v>
      </c>
      <c r="E406" s="23" t="s">
        <v>617</v>
      </c>
      <c r="F406" s="24"/>
      <c r="G406" s="24">
        <v>7000</v>
      </c>
      <c r="H406" s="23" t="s">
        <v>905</v>
      </c>
      <c r="I406" s="26" t="s">
        <v>897</v>
      </c>
      <c r="J406" s="3"/>
      <c r="K406" s="3"/>
      <c r="L406" s="9"/>
      <c r="M406" s="3"/>
      <c r="N406" s="3"/>
    </row>
    <row r="407" spans="1:14" ht="15.75" x14ac:dyDescent="0.25">
      <c r="A407" s="19">
        <f t="shared" si="6"/>
        <v>406</v>
      </c>
      <c r="B407" s="20">
        <v>45949</v>
      </c>
      <c r="C407" s="20">
        <v>45949</v>
      </c>
      <c r="D407" s="22" t="s">
        <v>620</v>
      </c>
      <c r="E407" s="23" t="s">
        <v>619</v>
      </c>
      <c r="F407" s="24"/>
      <c r="G407" s="24">
        <v>5000</v>
      </c>
      <c r="H407" s="28" t="s">
        <v>909</v>
      </c>
      <c r="I407" s="26" t="s">
        <v>897</v>
      </c>
      <c r="J407" s="3"/>
      <c r="K407" s="3"/>
      <c r="L407" s="9"/>
      <c r="M407" s="3"/>
      <c r="N407" s="3"/>
    </row>
    <row r="408" spans="1:14" ht="15.75" x14ac:dyDescent="0.25">
      <c r="A408" s="19">
        <f t="shared" si="6"/>
        <v>407</v>
      </c>
      <c r="B408" s="20">
        <v>45949</v>
      </c>
      <c r="C408" s="20">
        <v>45949</v>
      </c>
      <c r="D408" s="22" t="s">
        <v>622</v>
      </c>
      <c r="E408" s="23" t="s">
        <v>621</v>
      </c>
      <c r="F408" s="24"/>
      <c r="G408" s="24">
        <v>50000</v>
      </c>
      <c r="H408" s="23" t="s">
        <v>905</v>
      </c>
      <c r="I408" s="26" t="s">
        <v>897</v>
      </c>
      <c r="J408" s="3"/>
      <c r="K408" s="3"/>
      <c r="L408" s="9"/>
      <c r="M408" s="3"/>
      <c r="N408" s="3"/>
    </row>
    <row r="409" spans="1:14" ht="15.75" x14ac:dyDescent="0.25">
      <c r="A409" s="19">
        <f t="shared" si="6"/>
        <v>408</v>
      </c>
      <c r="B409" s="20">
        <v>45949</v>
      </c>
      <c r="C409" s="20">
        <v>45949</v>
      </c>
      <c r="D409" s="22">
        <v>491396900</v>
      </c>
      <c r="E409" s="23" t="s">
        <v>623</v>
      </c>
      <c r="F409" s="24">
        <v>6555</v>
      </c>
      <c r="G409" s="24"/>
      <c r="H409" s="28" t="s">
        <v>904</v>
      </c>
      <c r="I409" s="26" t="s">
        <v>897</v>
      </c>
      <c r="J409" s="3"/>
      <c r="K409" s="3"/>
      <c r="L409" s="9"/>
      <c r="M409" s="3"/>
      <c r="N409" s="3"/>
    </row>
    <row r="410" spans="1:14" ht="15.75" x14ac:dyDescent="0.25">
      <c r="A410" s="19">
        <f t="shared" si="6"/>
        <v>409</v>
      </c>
      <c r="B410" s="20">
        <v>45949</v>
      </c>
      <c r="C410" s="20">
        <v>45949</v>
      </c>
      <c r="D410" s="22">
        <v>491396956</v>
      </c>
      <c r="E410" s="23" t="s">
        <v>624</v>
      </c>
      <c r="F410" s="24">
        <v>4000</v>
      </c>
      <c r="G410" s="24"/>
      <c r="H410" s="23" t="s">
        <v>902</v>
      </c>
      <c r="I410" s="26" t="s">
        <v>897</v>
      </c>
      <c r="J410" s="3"/>
      <c r="K410" s="3"/>
      <c r="L410" s="9"/>
      <c r="M410" s="3"/>
      <c r="N410" s="3"/>
    </row>
    <row r="411" spans="1:14" ht="15.75" x14ac:dyDescent="0.25">
      <c r="A411" s="19">
        <f t="shared" si="6"/>
        <v>410</v>
      </c>
      <c r="B411" s="20">
        <v>45949</v>
      </c>
      <c r="C411" s="20">
        <v>45949</v>
      </c>
      <c r="D411" s="22">
        <v>491397022</v>
      </c>
      <c r="E411" s="23" t="s">
        <v>623</v>
      </c>
      <c r="F411" s="24">
        <v>5890</v>
      </c>
      <c r="G411" s="24"/>
      <c r="H411" s="28" t="s">
        <v>904</v>
      </c>
      <c r="I411" s="26" t="s">
        <v>897</v>
      </c>
      <c r="J411" s="3"/>
      <c r="K411" s="3"/>
      <c r="L411" s="9"/>
      <c r="M411" s="3"/>
      <c r="N411" s="3"/>
    </row>
    <row r="412" spans="1:14" ht="15.75" x14ac:dyDescent="0.25">
      <c r="A412" s="19">
        <f t="shared" si="6"/>
        <v>411</v>
      </c>
      <c r="B412" s="20">
        <v>45949</v>
      </c>
      <c r="C412" s="20">
        <v>45949</v>
      </c>
      <c r="D412" s="22">
        <v>491397245</v>
      </c>
      <c r="E412" s="23" t="s">
        <v>625</v>
      </c>
      <c r="F412" s="24">
        <v>8503</v>
      </c>
      <c r="G412" s="24"/>
      <c r="H412" s="28" t="s">
        <v>900</v>
      </c>
      <c r="I412" s="26" t="s">
        <v>897</v>
      </c>
      <c r="J412" s="3"/>
      <c r="K412" s="3"/>
      <c r="L412" s="9"/>
      <c r="M412" s="3"/>
      <c r="N412" s="3"/>
    </row>
    <row r="413" spans="1:14" ht="15.75" x14ac:dyDescent="0.25">
      <c r="A413" s="19">
        <f t="shared" si="6"/>
        <v>412</v>
      </c>
      <c r="B413" s="20">
        <v>45949</v>
      </c>
      <c r="C413" s="20">
        <v>45949</v>
      </c>
      <c r="D413" s="22">
        <v>491397176</v>
      </c>
      <c r="E413" s="23" t="s">
        <v>626</v>
      </c>
      <c r="F413" s="24">
        <v>9760</v>
      </c>
      <c r="G413" s="24"/>
      <c r="H413" s="23" t="s">
        <v>902</v>
      </c>
      <c r="I413" s="26" t="s">
        <v>897</v>
      </c>
      <c r="J413" s="3"/>
      <c r="K413" s="3"/>
      <c r="L413" s="9"/>
      <c r="M413" s="3"/>
      <c r="N413" s="3"/>
    </row>
    <row r="414" spans="1:14" ht="15.75" x14ac:dyDescent="0.25">
      <c r="A414" s="19">
        <f t="shared" si="6"/>
        <v>413</v>
      </c>
      <c r="B414" s="20">
        <v>45950</v>
      </c>
      <c r="C414" s="20">
        <v>45950</v>
      </c>
      <c r="D414" s="22">
        <v>491440181</v>
      </c>
      <c r="E414" s="23" t="s">
        <v>136</v>
      </c>
      <c r="F414" s="24">
        <v>4000</v>
      </c>
      <c r="G414" s="24"/>
      <c r="H414" t="s">
        <v>913</v>
      </c>
      <c r="I414" s="26" t="s">
        <v>897</v>
      </c>
      <c r="J414" s="3"/>
      <c r="K414" s="3"/>
      <c r="L414" s="9"/>
      <c r="M414" s="3"/>
      <c r="N414" s="3"/>
    </row>
    <row r="415" spans="1:14" ht="15.75" x14ac:dyDescent="0.25">
      <c r="A415" s="19">
        <f t="shared" si="6"/>
        <v>414</v>
      </c>
      <c r="B415" s="20">
        <v>45950</v>
      </c>
      <c r="C415" s="20">
        <v>45950</v>
      </c>
      <c r="D415" s="22" t="s">
        <v>628</v>
      </c>
      <c r="E415" s="23" t="s">
        <v>627</v>
      </c>
      <c r="F415" s="24">
        <v>2000</v>
      </c>
      <c r="G415" s="24"/>
      <c r="H415" s="28" t="s">
        <v>909</v>
      </c>
      <c r="I415" s="26" t="s">
        <v>897</v>
      </c>
      <c r="J415" s="3"/>
      <c r="K415" s="3"/>
      <c r="L415" s="9"/>
      <c r="M415" s="3"/>
      <c r="N415" s="3"/>
    </row>
    <row r="416" spans="1:14" ht="15.75" x14ac:dyDescent="0.25">
      <c r="A416" s="19">
        <f t="shared" si="6"/>
        <v>415</v>
      </c>
      <c r="B416" s="20">
        <v>45950</v>
      </c>
      <c r="C416" s="20">
        <v>45950</v>
      </c>
      <c r="D416" s="22" t="s">
        <v>630</v>
      </c>
      <c r="E416" s="23" t="s">
        <v>629</v>
      </c>
      <c r="F416" s="24"/>
      <c r="G416" s="24">
        <v>2700</v>
      </c>
      <c r="H416" s="23" t="s">
        <v>905</v>
      </c>
      <c r="I416" s="26" t="s">
        <v>897</v>
      </c>
      <c r="J416" s="3"/>
      <c r="K416" s="3"/>
      <c r="L416" s="9"/>
      <c r="M416" s="3"/>
      <c r="N416" s="3"/>
    </row>
    <row r="417" spans="1:14" ht="15.75" x14ac:dyDescent="0.25">
      <c r="A417" s="19">
        <f t="shared" si="6"/>
        <v>416</v>
      </c>
      <c r="B417" s="20">
        <v>45951</v>
      </c>
      <c r="C417" s="20">
        <v>45951</v>
      </c>
      <c r="D417" s="22" t="s">
        <v>632</v>
      </c>
      <c r="E417" s="23" t="s">
        <v>631</v>
      </c>
      <c r="F417" s="24">
        <v>3000</v>
      </c>
      <c r="G417" s="24"/>
      <c r="H417" s="28" t="s">
        <v>909</v>
      </c>
      <c r="I417" s="26" t="s">
        <v>897</v>
      </c>
      <c r="J417" s="3"/>
      <c r="K417" s="3"/>
      <c r="L417" s="9"/>
      <c r="M417" s="3"/>
      <c r="N417" s="3"/>
    </row>
    <row r="418" spans="1:14" ht="15.75" x14ac:dyDescent="0.25">
      <c r="A418" s="19">
        <f t="shared" si="6"/>
        <v>417</v>
      </c>
      <c r="B418" s="20">
        <v>45951</v>
      </c>
      <c r="C418" s="20">
        <v>45951</v>
      </c>
      <c r="D418" s="22" t="s">
        <v>634</v>
      </c>
      <c r="E418" s="23" t="s">
        <v>633</v>
      </c>
      <c r="F418" s="24"/>
      <c r="G418" s="24">
        <v>21400</v>
      </c>
      <c r="H418" s="28" t="s">
        <v>900</v>
      </c>
      <c r="I418" s="26" t="s">
        <v>897</v>
      </c>
      <c r="J418" s="3"/>
      <c r="K418" s="3"/>
      <c r="L418" s="9"/>
      <c r="M418" s="3"/>
      <c r="N418" s="3"/>
    </row>
    <row r="419" spans="1:14" ht="15.75" x14ac:dyDescent="0.25">
      <c r="A419" s="19">
        <f t="shared" si="6"/>
        <v>418</v>
      </c>
      <c r="B419" s="20">
        <v>45952</v>
      </c>
      <c r="C419" s="20">
        <v>45952</v>
      </c>
      <c r="D419" s="22" t="s">
        <v>636</v>
      </c>
      <c r="E419" s="23" t="s">
        <v>635</v>
      </c>
      <c r="F419" s="24"/>
      <c r="G419" s="24">
        <v>4657.96</v>
      </c>
      <c r="H419" s="29" t="s">
        <v>896</v>
      </c>
      <c r="I419" s="26" t="s">
        <v>897</v>
      </c>
      <c r="J419" s="3"/>
      <c r="K419" s="3"/>
      <c r="L419" s="9"/>
      <c r="M419" s="3"/>
      <c r="N419" s="3"/>
    </row>
    <row r="420" spans="1:14" ht="15.75" x14ac:dyDescent="0.25">
      <c r="A420" s="19">
        <f t="shared" si="6"/>
        <v>419</v>
      </c>
      <c r="B420" s="20">
        <v>45954</v>
      </c>
      <c r="C420" s="20">
        <v>45954</v>
      </c>
      <c r="D420" s="22">
        <v>491926659</v>
      </c>
      <c r="E420" s="23" t="s">
        <v>637</v>
      </c>
      <c r="F420" s="24">
        <v>10318</v>
      </c>
      <c r="G420" s="24"/>
      <c r="H420" s="28" t="s">
        <v>910</v>
      </c>
      <c r="I420" s="26" t="s">
        <v>897</v>
      </c>
      <c r="J420" s="3"/>
      <c r="K420" s="3"/>
      <c r="L420" s="9"/>
      <c r="M420" s="3"/>
      <c r="N420" s="3"/>
    </row>
    <row r="421" spans="1:14" ht="15.75" x14ac:dyDescent="0.25">
      <c r="A421" s="19">
        <f t="shared" si="6"/>
        <v>420</v>
      </c>
      <c r="B421" s="20">
        <v>45957</v>
      </c>
      <c r="C421" s="20">
        <v>45957</v>
      </c>
      <c r="D421" s="22" t="s">
        <v>639</v>
      </c>
      <c r="E421" s="23" t="s">
        <v>638</v>
      </c>
      <c r="F421" s="24">
        <v>5.9</v>
      </c>
      <c r="G421" s="24"/>
      <c r="H421" s="23" t="s">
        <v>916</v>
      </c>
      <c r="I421" s="26" t="s">
        <v>897</v>
      </c>
      <c r="J421" s="3"/>
      <c r="K421" s="3"/>
      <c r="L421" s="9"/>
      <c r="M421" s="3"/>
      <c r="N421" s="3"/>
    </row>
    <row r="422" spans="1:14" ht="15.75" x14ac:dyDescent="0.25">
      <c r="A422" s="19">
        <f t="shared" si="6"/>
        <v>421</v>
      </c>
      <c r="B422" s="20">
        <v>45957</v>
      </c>
      <c r="C422" s="20">
        <v>45957</v>
      </c>
      <c r="D422" s="22" t="s">
        <v>641</v>
      </c>
      <c r="E422" s="23" t="s">
        <v>640</v>
      </c>
      <c r="F422" s="24">
        <v>5.9</v>
      </c>
      <c r="G422" s="24"/>
      <c r="H422" s="23" t="s">
        <v>916</v>
      </c>
      <c r="I422" s="26" t="s">
        <v>897</v>
      </c>
      <c r="J422" s="3"/>
      <c r="K422" s="3"/>
      <c r="L422" s="9"/>
      <c r="M422" s="3"/>
      <c r="N422" s="3"/>
    </row>
    <row r="423" spans="1:14" ht="15.75" x14ac:dyDescent="0.25">
      <c r="A423" s="19">
        <f t="shared" si="6"/>
        <v>422</v>
      </c>
      <c r="B423" s="20">
        <v>45958</v>
      </c>
      <c r="C423" s="20">
        <v>45958</v>
      </c>
      <c r="D423" s="22" t="s">
        <v>643</v>
      </c>
      <c r="E423" s="23" t="s">
        <v>642</v>
      </c>
      <c r="F423" s="24"/>
      <c r="G423" s="24">
        <v>3400</v>
      </c>
      <c r="H423" s="23" t="s">
        <v>905</v>
      </c>
      <c r="I423" s="26" t="s">
        <v>897</v>
      </c>
      <c r="J423" s="3"/>
      <c r="K423" s="3"/>
      <c r="L423" s="9"/>
      <c r="M423" s="3"/>
      <c r="N423" s="3"/>
    </row>
    <row r="424" spans="1:14" ht="15.75" x14ac:dyDescent="0.25">
      <c r="A424" s="19">
        <f t="shared" si="6"/>
        <v>423</v>
      </c>
      <c r="B424" s="20">
        <v>45958</v>
      </c>
      <c r="C424" s="20">
        <v>45958</v>
      </c>
      <c r="D424" s="22" t="s">
        <v>645</v>
      </c>
      <c r="E424" s="23" t="s">
        <v>644</v>
      </c>
      <c r="F424" s="24"/>
      <c r="G424" s="24">
        <v>10498</v>
      </c>
      <c r="H424" s="23" t="s">
        <v>906</v>
      </c>
      <c r="I424" s="26" t="s">
        <v>897</v>
      </c>
      <c r="J424" s="3"/>
      <c r="K424" s="3"/>
      <c r="L424" s="9"/>
      <c r="M424" s="3"/>
      <c r="N424" s="3"/>
    </row>
    <row r="425" spans="1:14" ht="15.75" x14ac:dyDescent="0.25">
      <c r="A425" s="19">
        <f t="shared" si="6"/>
        <v>424</v>
      </c>
      <c r="B425" s="20">
        <v>45959</v>
      </c>
      <c r="C425" s="20">
        <v>45959</v>
      </c>
      <c r="D425" s="22" t="s">
        <v>647</v>
      </c>
      <c r="E425" s="23" t="s">
        <v>646</v>
      </c>
      <c r="F425" s="24"/>
      <c r="G425" s="24">
        <v>9999</v>
      </c>
      <c r="H425" s="29" t="s">
        <v>896</v>
      </c>
      <c r="I425" s="26" t="s">
        <v>897</v>
      </c>
      <c r="J425" s="3"/>
      <c r="K425" s="3"/>
      <c r="L425" s="9"/>
      <c r="M425" s="3"/>
      <c r="N425" s="3"/>
    </row>
    <row r="426" spans="1:14" ht="15.75" x14ac:dyDescent="0.25">
      <c r="A426" s="19">
        <f t="shared" si="6"/>
        <v>425</v>
      </c>
      <c r="B426" s="20">
        <v>45959</v>
      </c>
      <c r="C426" s="20">
        <v>45959</v>
      </c>
      <c r="D426" s="22" t="s">
        <v>649</v>
      </c>
      <c r="E426" s="23" t="s">
        <v>648</v>
      </c>
      <c r="F426" s="24">
        <v>2000</v>
      </c>
      <c r="G426" s="24"/>
      <c r="H426" s="23" t="s">
        <v>924</v>
      </c>
      <c r="I426" s="26" t="s">
        <v>897</v>
      </c>
      <c r="J426" s="3"/>
      <c r="K426" s="3"/>
      <c r="L426" s="9"/>
      <c r="M426" s="3"/>
      <c r="N426" s="3"/>
    </row>
    <row r="427" spans="1:14" ht="15.75" x14ac:dyDescent="0.25">
      <c r="A427" s="19">
        <f t="shared" si="6"/>
        <v>426</v>
      </c>
      <c r="B427" s="20">
        <v>45959</v>
      </c>
      <c r="C427" s="20">
        <v>45959</v>
      </c>
      <c r="D427" s="22" t="s">
        <v>651</v>
      </c>
      <c r="E427" s="23" t="s">
        <v>650</v>
      </c>
      <c r="F427" s="24">
        <v>3400</v>
      </c>
      <c r="G427" s="24"/>
      <c r="H427" s="23" t="s">
        <v>924</v>
      </c>
      <c r="I427" s="26" t="s">
        <v>897</v>
      </c>
      <c r="J427" s="3"/>
      <c r="K427" s="3"/>
      <c r="L427" s="9"/>
      <c r="M427" s="3"/>
      <c r="N427" s="3"/>
    </row>
    <row r="428" spans="1:14" ht="15.75" x14ac:dyDescent="0.25">
      <c r="A428" s="30">
        <f t="shared" si="6"/>
        <v>427</v>
      </c>
      <c r="B428" s="31">
        <v>45961</v>
      </c>
      <c r="C428" s="31">
        <v>45961</v>
      </c>
      <c r="D428" s="32" t="s">
        <v>653</v>
      </c>
      <c r="E428" s="33" t="s">
        <v>652</v>
      </c>
      <c r="F428" s="34"/>
      <c r="G428" s="34">
        <v>14500.04</v>
      </c>
      <c r="H428" s="33" t="s">
        <v>920</v>
      </c>
      <c r="I428" s="35" t="s">
        <v>897</v>
      </c>
      <c r="J428" s="3"/>
      <c r="K428" s="3"/>
      <c r="L428" s="9"/>
      <c r="M428" s="3"/>
      <c r="N428" s="3"/>
    </row>
    <row r="429" spans="1:14" ht="15.75" x14ac:dyDescent="0.25">
      <c r="A429" s="36">
        <v>1</v>
      </c>
      <c r="B429" s="37">
        <v>45962</v>
      </c>
      <c r="C429" s="37">
        <v>45962</v>
      </c>
      <c r="D429" s="38" t="s">
        <v>655</v>
      </c>
      <c r="E429" s="36" t="s">
        <v>654</v>
      </c>
      <c r="F429" s="39"/>
      <c r="G429" s="39">
        <v>1</v>
      </c>
      <c r="H429" s="28" t="s">
        <v>903</v>
      </c>
      <c r="I429" s="40" t="s">
        <v>897</v>
      </c>
    </row>
    <row r="430" spans="1:14" ht="15.75" x14ac:dyDescent="0.25">
      <c r="A430" s="41">
        <f t="shared" ref="A430:A493" si="7">1+A429</f>
        <v>2</v>
      </c>
      <c r="B430" s="42">
        <v>45962</v>
      </c>
      <c r="C430" s="42">
        <v>45962</v>
      </c>
      <c r="D430" s="43" t="s">
        <v>657</v>
      </c>
      <c r="E430" s="41" t="s">
        <v>656</v>
      </c>
      <c r="F430" s="44"/>
      <c r="G430" s="44">
        <v>1</v>
      </c>
      <c r="H430" s="28" t="s">
        <v>903</v>
      </c>
      <c r="I430" s="40" t="s">
        <v>897</v>
      </c>
    </row>
    <row r="431" spans="1:14" ht="15.75" x14ac:dyDescent="0.25">
      <c r="A431" s="36">
        <f t="shared" si="7"/>
        <v>3</v>
      </c>
      <c r="B431" s="37">
        <v>45962</v>
      </c>
      <c r="C431" s="37">
        <v>45962</v>
      </c>
      <c r="D431" s="38" t="s">
        <v>659</v>
      </c>
      <c r="E431" s="36" t="s">
        <v>658</v>
      </c>
      <c r="F431" s="39"/>
      <c r="G431" s="39">
        <v>18300</v>
      </c>
      <c r="H431" s="28" t="s">
        <v>900</v>
      </c>
      <c r="I431" s="40" t="s">
        <v>897</v>
      </c>
    </row>
    <row r="432" spans="1:14" ht="15.75" x14ac:dyDescent="0.25">
      <c r="A432" s="41">
        <f t="shared" si="7"/>
        <v>4</v>
      </c>
      <c r="B432" s="42">
        <v>45965</v>
      </c>
      <c r="C432" s="42">
        <v>45965</v>
      </c>
      <c r="D432" s="43" t="s">
        <v>661</v>
      </c>
      <c r="E432" s="41" t="s">
        <v>660</v>
      </c>
      <c r="F432" s="44"/>
      <c r="G432" s="44">
        <v>9342</v>
      </c>
      <c r="H432" s="41" t="s">
        <v>905</v>
      </c>
      <c r="I432" s="40" t="s">
        <v>897</v>
      </c>
    </row>
    <row r="433" spans="1:9" ht="15.75" x14ac:dyDescent="0.25">
      <c r="A433" s="36">
        <f t="shared" si="7"/>
        <v>5</v>
      </c>
      <c r="B433" s="37">
        <v>45965</v>
      </c>
      <c r="C433" s="37">
        <v>45965</v>
      </c>
      <c r="D433" s="38" t="s">
        <v>663</v>
      </c>
      <c r="E433" s="36" t="s">
        <v>662</v>
      </c>
      <c r="F433" s="39">
        <v>584</v>
      </c>
      <c r="G433" s="39"/>
      <c r="H433" s="36" t="s">
        <v>905</v>
      </c>
      <c r="I433" s="40" t="s">
        <v>897</v>
      </c>
    </row>
    <row r="434" spans="1:9" ht="15.75" x14ac:dyDescent="0.25">
      <c r="A434" s="41">
        <f t="shared" si="7"/>
        <v>6</v>
      </c>
      <c r="B434" s="42">
        <v>45967</v>
      </c>
      <c r="C434" s="42">
        <v>45967</v>
      </c>
      <c r="D434" s="43" t="s">
        <v>665</v>
      </c>
      <c r="E434" s="41" t="s">
        <v>664</v>
      </c>
      <c r="F434" s="44"/>
      <c r="G434" s="44">
        <v>3000</v>
      </c>
      <c r="H434" s="41" t="s">
        <v>905</v>
      </c>
      <c r="I434" s="40" t="s">
        <v>897</v>
      </c>
    </row>
    <row r="435" spans="1:9" ht="15.75" x14ac:dyDescent="0.25">
      <c r="A435" s="36">
        <f t="shared" si="7"/>
        <v>7</v>
      </c>
      <c r="B435" s="37">
        <v>45967</v>
      </c>
      <c r="C435" s="37">
        <v>45967</v>
      </c>
      <c r="D435" s="38" t="s">
        <v>667</v>
      </c>
      <c r="E435" s="36" t="s">
        <v>666</v>
      </c>
      <c r="F435" s="39"/>
      <c r="G435" s="39">
        <v>5249</v>
      </c>
      <c r="H435" s="36" t="s">
        <v>905</v>
      </c>
      <c r="I435" s="40" t="s">
        <v>897</v>
      </c>
    </row>
    <row r="436" spans="1:9" ht="15.75" x14ac:dyDescent="0.25">
      <c r="A436" s="41">
        <f t="shared" si="7"/>
        <v>8</v>
      </c>
      <c r="B436" s="42">
        <v>45968</v>
      </c>
      <c r="C436" s="42">
        <v>45968</v>
      </c>
      <c r="D436" s="43" t="s">
        <v>669</v>
      </c>
      <c r="E436" s="41" t="s">
        <v>668</v>
      </c>
      <c r="F436" s="44"/>
      <c r="G436" s="44">
        <v>4950</v>
      </c>
      <c r="H436" s="41" t="s">
        <v>909</v>
      </c>
      <c r="I436" s="40" t="s">
        <v>897</v>
      </c>
    </row>
    <row r="437" spans="1:9" ht="15.75" x14ac:dyDescent="0.25">
      <c r="A437" s="36">
        <f t="shared" si="7"/>
        <v>9</v>
      </c>
      <c r="B437" s="37">
        <v>45970</v>
      </c>
      <c r="C437" s="37">
        <v>45970</v>
      </c>
      <c r="D437" s="38" t="s">
        <v>671</v>
      </c>
      <c r="E437" s="36" t="s">
        <v>670</v>
      </c>
      <c r="F437" s="39"/>
      <c r="G437" s="39">
        <v>5600</v>
      </c>
      <c r="H437" s="36" t="s">
        <v>905</v>
      </c>
      <c r="I437" s="40" t="s">
        <v>897</v>
      </c>
    </row>
    <row r="438" spans="1:9" ht="15.75" x14ac:dyDescent="0.25">
      <c r="A438" s="41">
        <f t="shared" si="7"/>
        <v>10</v>
      </c>
      <c r="B438" s="42">
        <v>45970</v>
      </c>
      <c r="C438" s="42">
        <v>45970</v>
      </c>
      <c r="D438" s="43">
        <v>494708965</v>
      </c>
      <c r="E438" s="41" t="s">
        <v>672</v>
      </c>
      <c r="F438" s="44">
        <v>2500</v>
      </c>
      <c r="G438" s="44"/>
      <c r="H438" s="41" t="s">
        <v>904</v>
      </c>
      <c r="I438" s="40" t="s">
        <v>897</v>
      </c>
    </row>
    <row r="439" spans="1:9" ht="15.75" x14ac:dyDescent="0.25">
      <c r="A439" s="36">
        <f t="shared" si="7"/>
        <v>11</v>
      </c>
      <c r="B439" s="37">
        <v>45971</v>
      </c>
      <c r="C439" s="37">
        <v>45971</v>
      </c>
      <c r="D439" s="38" t="s">
        <v>674</v>
      </c>
      <c r="E439" s="36" t="s">
        <v>673</v>
      </c>
      <c r="F439" s="39"/>
      <c r="G439" s="39">
        <v>35000</v>
      </c>
      <c r="H439" s="36" t="s">
        <v>925</v>
      </c>
      <c r="I439" s="40" t="s">
        <v>897</v>
      </c>
    </row>
    <row r="440" spans="1:9" ht="15.75" x14ac:dyDescent="0.25">
      <c r="A440" s="41">
        <f t="shared" si="7"/>
        <v>12</v>
      </c>
      <c r="B440" s="42">
        <v>45972</v>
      </c>
      <c r="C440" s="42">
        <v>45972</v>
      </c>
      <c r="D440" s="43">
        <v>495140332</v>
      </c>
      <c r="E440" s="41" t="s">
        <v>675</v>
      </c>
      <c r="F440" s="44">
        <v>50000</v>
      </c>
      <c r="G440" s="44"/>
      <c r="H440" s="28" t="s">
        <v>903</v>
      </c>
      <c r="I440" s="40" t="s">
        <v>897</v>
      </c>
    </row>
    <row r="441" spans="1:9" ht="15.75" x14ac:dyDescent="0.25">
      <c r="A441" s="36">
        <f t="shared" si="7"/>
        <v>13</v>
      </c>
      <c r="B441" s="37">
        <v>45973</v>
      </c>
      <c r="C441" s="37">
        <v>45973</v>
      </c>
      <c r="D441" s="38" t="s">
        <v>677</v>
      </c>
      <c r="E441" s="36" t="s">
        <v>676</v>
      </c>
      <c r="F441" s="39"/>
      <c r="G441" s="39">
        <v>5600</v>
      </c>
      <c r="H441" s="36" t="s">
        <v>905</v>
      </c>
      <c r="I441" s="40" t="s">
        <v>897</v>
      </c>
    </row>
    <row r="442" spans="1:9" ht="15.75" x14ac:dyDescent="0.25">
      <c r="A442" s="41">
        <f t="shared" si="7"/>
        <v>14</v>
      </c>
      <c r="B442" s="42">
        <v>45974</v>
      </c>
      <c r="C442" s="42">
        <v>45974</v>
      </c>
      <c r="D442" s="43" t="s">
        <v>679</v>
      </c>
      <c r="E442" s="41" t="s">
        <v>678</v>
      </c>
      <c r="F442" s="44"/>
      <c r="G442" s="44">
        <v>5600</v>
      </c>
      <c r="H442" s="41" t="s">
        <v>905</v>
      </c>
      <c r="I442" s="40" t="s">
        <v>897</v>
      </c>
    </row>
    <row r="443" spans="1:9" ht="15.75" x14ac:dyDescent="0.25">
      <c r="A443" s="36">
        <f t="shared" si="7"/>
        <v>15</v>
      </c>
      <c r="B443" s="37">
        <v>45974</v>
      </c>
      <c r="C443" s="37">
        <v>45974</v>
      </c>
      <c r="D443" s="38" t="s">
        <v>681</v>
      </c>
      <c r="E443" s="36" t="s">
        <v>680</v>
      </c>
      <c r="F443" s="39"/>
      <c r="G443" s="39">
        <v>4671</v>
      </c>
      <c r="H443" s="36" t="s">
        <v>905</v>
      </c>
      <c r="I443" s="40" t="s">
        <v>897</v>
      </c>
    </row>
    <row r="444" spans="1:9" ht="15.75" x14ac:dyDescent="0.25">
      <c r="A444" s="41">
        <f t="shared" si="7"/>
        <v>16</v>
      </c>
      <c r="B444" s="42">
        <v>45975</v>
      </c>
      <c r="C444" s="42">
        <v>45975</v>
      </c>
      <c r="D444" s="43" t="s">
        <v>683</v>
      </c>
      <c r="E444" s="41" t="s">
        <v>682</v>
      </c>
      <c r="F444" s="44">
        <v>71200</v>
      </c>
      <c r="G444" s="44"/>
      <c r="H444" s="41" t="s">
        <v>907</v>
      </c>
      <c r="I444" s="40" t="s">
        <v>897</v>
      </c>
    </row>
    <row r="445" spans="1:9" ht="15.75" x14ac:dyDescent="0.25">
      <c r="A445" s="36">
        <f t="shared" si="7"/>
        <v>17</v>
      </c>
      <c r="B445" s="37">
        <v>45976</v>
      </c>
      <c r="C445" s="37">
        <v>45976</v>
      </c>
      <c r="D445" s="38" t="s">
        <v>685</v>
      </c>
      <c r="E445" s="36" t="s">
        <v>684</v>
      </c>
      <c r="F445" s="39"/>
      <c r="G445" s="39">
        <v>5549</v>
      </c>
      <c r="H445" s="36" t="s">
        <v>905</v>
      </c>
      <c r="I445" s="40" t="s">
        <v>897</v>
      </c>
    </row>
    <row r="446" spans="1:9" ht="15.75" x14ac:dyDescent="0.25">
      <c r="A446" s="41">
        <f t="shared" si="7"/>
        <v>18</v>
      </c>
      <c r="B446" s="42">
        <v>45978</v>
      </c>
      <c r="C446" s="42">
        <v>45978</v>
      </c>
      <c r="D446" s="43" t="s">
        <v>687</v>
      </c>
      <c r="E446" s="41" t="s">
        <v>686</v>
      </c>
      <c r="F446" s="44"/>
      <c r="G446" s="44">
        <v>5000</v>
      </c>
      <c r="H446" s="41" t="s">
        <v>905</v>
      </c>
      <c r="I446" s="40" t="s">
        <v>897</v>
      </c>
    </row>
    <row r="447" spans="1:9" ht="15.75" x14ac:dyDescent="0.25">
      <c r="A447" s="36">
        <f t="shared" si="7"/>
        <v>19</v>
      </c>
      <c r="B447" s="37">
        <v>45978</v>
      </c>
      <c r="C447" s="37">
        <v>45978</v>
      </c>
      <c r="D447" s="38">
        <v>496289946</v>
      </c>
      <c r="E447" s="36" t="s">
        <v>688</v>
      </c>
      <c r="F447" s="39">
        <v>600</v>
      </c>
      <c r="G447" s="39"/>
      <c r="H447" s="36" t="s">
        <v>904</v>
      </c>
      <c r="I447" s="40" t="s">
        <v>897</v>
      </c>
    </row>
    <row r="448" spans="1:9" ht="15.75" x14ac:dyDescent="0.25">
      <c r="A448" s="41">
        <f t="shared" si="7"/>
        <v>20</v>
      </c>
      <c r="B448" s="42">
        <v>45979</v>
      </c>
      <c r="C448" s="42">
        <v>45979</v>
      </c>
      <c r="D448" s="43" t="s">
        <v>690</v>
      </c>
      <c r="E448" s="41" t="s">
        <v>689</v>
      </c>
      <c r="F448" s="44"/>
      <c r="G448" s="44">
        <v>5249</v>
      </c>
      <c r="H448" s="41" t="s">
        <v>905</v>
      </c>
      <c r="I448" s="40" t="s">
        <v>897</v>
      </c>
    </row>
    <row r="449" spans="1:9" ht="15.75" x14ac:dyDescent="0.25">
      <c r="A449" s="36">
        <f t="shared" si="7"/>
        <v>21</v>
      </c>
      <c r="B449" s="37">
        <v>45981</v>
      </c>
      <c r="C449" s="37">
        <v>45981</v>
      </c>
      <c r="D449" s="38" t="s">
        <v>692</v>
      </c>
      <c r="E449" s="36" t="s">
        <v>691</v>
      </c>
      <c r="F449" s="39">
        <v>1000</v>
      </c>
      <c r="G449" s="39"/>
      <c r="H449" s="36" t="s">
        <v>907</v>
      </c>
      <c r="I449" s="40" t="s">
        <v>897</v>
      </c>
    </row>
    <row r="450" spans="1:9" ht="15.75" x14ac:dyDescent="0.25">
      <c r="A450" s="41">
        <f t="shared" si="7"/>
        <v>22</v>
      </c>
      <c r="B450" s="42">
        <v>45981</v>
      </c>
      <c r="C450" s="42">
        <v>45981</v>
      </c>
      <c r="D450" s="43" t="s">
        <v>694</v>
      </c>
      <c r="E450" s="41" t="s">
        <v>693</v>
      </c>
      <c r="F450" s="44">
        <v>756</v>
      </c>
      <c r="G450" s="44"/>
      <c r="H450" s="41" t="s">
        <v>907</v>
      </c>
      <c r="I450" s="40" t="s">
        <v>897</v>
      </c>
    </row>
    <row r="451" spans="1:9" ht="15.75" x14ac:dyDescent="0.25">
      <c r="A451" s="36">
        <f t="shared" si="7"/>
        <v>23</v>
      </c>
      <c r="B451" s="37">
        <v>45982</v>
      </c>
      <c r="C451" s="37">
        <v>45982</v>
      </c>
      <c r="D451" s="38" t="s">
        <v>696</v>
      </c>
      <c r="E451" s="36" t="s">
        <v>695</v>
      </c>
      <c r="F451" s="39"/>
      <c r="G451" s="39">
        <v>9999</v>
      </c>
      <c r="H451" s="29" t="s">
        <v>896</v>
      </c>
      <c r="I451" s="40" t="s">
        <v>897</v>
      </c>
    </row>
    <row r="452" spans="1:9" ht="15.75" x14ac:dyDescent="0.25">
      <c r="A452" s="41">
        <f t="shared" si="7"/>
        <v>24</v>
      </c>
      <c r="B452" s="42">
        <v>45982</v>
      </c>
      <c r="C452" s="42">
        <v>45982</v>
      </c>
      <c r="D452" s="43" t="s">
        <v>698</v>
      </c>
      <c r="E452" s="41" t="s">
        <v>697</v>
      </c>
      <c r="F452" s="44"/>
      <c r="G452" s="44">
        <v>1</v>
      </c>
      <c r="H452" s="45" t="s">
        <v>905</v>
      </c>
      <c r="I452" s="40" t="s">
        <v>897</v>
      </c>
    </row>
    <row r="453" spans="1:9" ht="15.75" x14ac:dyDescent="0.25">
      <c r="A453" s="36">
        <f t="shared" si="7"/>
        <v>25</v>
      </c>
      <c r="B453" s="37">
        <v>45982</v>
      </c>
      <c r="C453" s="37">
        <v>45982</v>
      </c>
      <c r="D453" s="38" t="s">
        <v>700</v>
      </c>
      <c r="E453" s="36" t="s">
        <v>699</v>
      </c>
      <c r="F453" s="39"/>
      <c r="G453" s="39">
        <v>4671</v>
      </c>
      <c r="H453" s="45" t="s">
        <v>905</v>
      </c>
      <c r="I453" s="40" t="s">
        <v>897</v>
      </c>
    </row>
    <row r="454" spans="1:9" ht="15.75" x14ac:dyDescent="0.25">
      <c r="A454" s="41">
        <f t="shared" si="7"/>
        <v>26</v>
      </c>
      <c r="B454" s="42">
        <v>45982</v>
      </c>
      <c r="C454" s="42">
        <v>45982</v>
      </c>
      <c r="D454" s="43">
        <v>497071618</v>
      </c>
      <c r="E454" s="41" t="s">
        <v>64</v>
      </c>
      <c r="F454" s="44">
        <v>5138</v>
      </c>
      <c r="G454" s="44"/>
      <c r="H454" s="41" t="s">
        <v>909</v>
      </c>
      <c r="I454" s="40" t="s">
        <v>897</v>
      </c>
    </row>
    <row r="455" spans="1:9" ht="15.75" x14ac:dyDescent="0.25">
      <c r="A455" s="36">
        <f t="shared" si="7"/>
        <v>27</v>
      </c>
      <c r="B455" s="37">
        <v>45985</v>
      </c>
      <c r="C455" s="37">
        <v>45985</v>
      </c>
      <c r="D455" s="38" t="s">
        <v>702</v>
      </c>
      <c r="E455" s="36" t="s">
        <v>701</v>
      </c>
      <c r="F455" s="39">
        <v>5138</v>
      </c>
      <c r="G455" s="39"/>
      <c r="H455" s="36" t="s">
        <v>903</v>
      </c>
      <c r="I455" s="40" t="s">
        <v>897</v>
      </c>
    </row>
    <row r="456" spans="1:9" ht="15.75" x14ac:dyDescent="0.25">
      <c r="A456" s="41">
        <f t="shared" si="7"/>
        <v>28</v>
      </c>
      <c r="B456" s="42">
        <v>45985</v>
      </c>
      <c r="C456" s="42">
        <v>45985</v>
      </c>
      <c r="D456" s="43" t="s">
        <v>704</v>
      </c>
      <c r="E456" s="41" t="s">
        <v>703</v>
      </c>
      <c r="F456" s="44">
        <v>5138</v>
      </c>
      <c r="G456" s="44"/>
      <c r="H456" s="41" t="s">
        <v>903</v>
      </c>
      <c r="I456" s="40" t="s">
        <v>897</v>
      </c>
    </row>
    <row r="457" spans="1:9" ht="15.75" x14ac:dyDescent="0.25">
      <c r="A457" s="36">
        <f t="shared" si="7"/>
        <v>29</v>
      </c>
      <c r="B457" s="37">
        <v>45985</v>
      </c>
      <c r="C457" s="37">
        <v>45985</v>
      </c>
      <c r="D457" s="38" t="s">
        <v>706</v>
      </c>
      <c r="E457" s="36" t="s">
        <v>705</v>
      </c>
      <c r="F457" s="39">
        <v>5138</v>
      </c>
      <c r="G457" s="39"/>
      <c r="H457" s="36" t="s">
        <v>903</v>
      </c>
      <c r="I457" s="40" t="s">
        <v>897</v>
      </c>
    </row>
    <row r="458" spans="1:9" ht="15.75" x14ac:dyDescent="0.25">
      <c r="A458" s="41">
        <f t="shared" si="7"/>
        <v>30</v>
      </c>
      <c r="B458" s="42">
        <v>45985</v>
      </c>
      <c r="C458" s="42">
        <v>45985</v>
      </c>
      <c r="D458" s="43" t="s">
        <v>708</v>
      </c>
      <c r="E458" s="41" t="s">
        <v>707</v>
      </c>
      <c r="F458" s="44">
        <v>5138</v>
      </c>
      <c r="G458" s="44"/>
      <c r="H458" s="41" t="s">
        <v>903</v>
      </c>
      <c r="I458" s="40" t="s">
        <v>897</v>
      </c>
    </row>
    <row r="459" spans="1:9" ht="15.75" x14ac:dyDescent="0.25">
      <c r="A459" s="36">
        <f t="shared" si="7"/>
        <v>31</v>
      </c>
      <c r="B459" s="37">
        <v>45985</v>
      </c>
      <c r="C459" s="37">
        <v>45985</v>
      </c>
      <c r="D459" s="38" t="s">
        <v>710</v>
      </c>
      <c r="E459" s="36" t="s">
        <v>709</v>
      </c>
      <c r="F459" s="39">
        <v>5138</v>
      </c>
      <c r="G459" s="39"/>
      <c r="H459" s="36" t="s">
        <v>903</v>
      </c>
      <c r="I459" s="40" t="s">
        <v>897</v>
      </c>
    </row>
    <row r="460" spans="1:9" ht="15.75" x14ac:dyDescent="0.25">
      <c r="A460" s="41">
        <f t="shared" si="7"/>
        <v>32</v>
      </c>
      <c r="B460" s="42">
        <v>45985</v>
      </c>
      <c r="C460" s="42">
        <v>45985</v>
      </c>
      <c r="D460" s="43" t="s">
        <v>712</v>
      </c>
      <c r="E460" s="41" t="s">
        <v>711</v>
      </c>
      <c r="F460" s="44"/>
      <c r="G460" s="44">
        <v>15747</v>
      </c>
      <c r="H460" s="41" t="s">
        <v>906</v>
      </c>
      <c r="I460" s="40" t="s">
        <v>897</v>
      </c>
    </row>
    <row r="461" spans="1:9" ht="15.75" x14ac:dyDescent="0.25">
      <c r="A461" s="36">
        <f t="shared" si="7"/>
        <v>33</v>
      </c>
      <c r="B461" s="37">
        <v>45985</v>
      </c>
      <c r="C461" s="37">
        <v>45985</v>
      </c>
      <c r="D461" s="38" t="s">
        <v>714</v>
      </c>
      <c r="E461" s="36" t="s">
        <v>713</v>
      </c>
      <c r="F461" s="39"/>
      <c r="G461" s="39">
        <v>8735</v>
      </c>
      <c r="H461" s="36" t="s">
        <v>909</v>
      </c>
      <c r="I461" s="40" t="s">
        <v>897</v>
      </c>
    </row>
    <row r="462" spans="1:9" ht="15.75" x14ac:dyDescent="0.25">
      <c r="A462" s="41">
        <f t="shared" si="7"/>
        <v>34</v>
      </c>
      <c r="B462" s="42">
        <v>45986</v>
      </c>
      <c r="C462" s="42">
        <v>45986</v>
      </c>
      <c r="D462" s="43">
        <v>497481149</v>
      </c>
      <c r="E462" s="41" t="s">
        <v>150</v>
      </c>
      <c r="F462" s="44">
        <v>5138</v>
      </c>
      <c r="G462" s="44"/>
      <c r="H462" s="41" t="s">
        <v>909</v>
      </c>
      <c r="I462" s="40" t="s">
        <v>897</v>
      </c>
    </row>
    <row r="463" spans="1:9" ht="15.75" x14ac:dyDescent="0.25">
      <c r="A463" s="36">
        <f t="shared" si="7"/>
        <v>35</v>
      </c>
      <c r="B463" s="37">
        <v>45986</v>
      </c>
      <c r="C463" s="37">
        <v>45986</v>
      </c>
      <c r="D463" s="38" t="s">
        <v>716</v>
      </c>
      <c r="E463" s="36" t="s">
        <v>715</v>
      </c>
      <c r="F463" s="39">
        <v>5138</v>
      </c>
      <c r="G463" s="39"/>
      <c r="H463" s="36" t="s">
        <v>903</v>
      </c>
      <c r="I463" s="40" t="s">
        <v>897</v>
      </c>
    </row>
    <row r="464" spans="1:9" ht="15.75" x14ac:dyDescent="0.25">
      <c r="A464" s="41">
        <f t="shared" si="7"/>
        <v>36</v>
      </c>
      <c r="B464" s="42">
        <v>45986</v>
      </c>
      <c r="C464" s="42">
        <v>45986</v>
      </c>
      <c r="D464" s="43" t="s">
        <v>718</v>
      </c>
      <c r="E464" s="41" t="s">
        <v>717</v>
      </c>
      <c r="F464" s="44">
        <v>10276</v>
      </c>
      <c r="G464" s="44"/>
      <c r="H464" s="41" t="s">
        <v>903</v>
      </c>
      <c r="I464" s="40" t="s">
        <v>897</v>
      </c>
    </row>
    <row r="465" spans="1:9" ht="15.75" x14ac:dyDescent="0.25">
      <c r="A465" s="36">
        <f t="shared" si="7"/>
        <v>37</v>
      </c>
      <c r="B465" s="37">
        <v>45987</v>
      </c>
      <c r="C465" s="37">
        <v>45987</v>
      </c>
      <c r="D465" s="38" t="s">
        <v>720</v>
      </c>
      <c r="E465" s="36" t="s">
        <v>719</v>
      </c>
      <c r="F465" s="39"/>
      <c r="G465" s="39">
        <v>5000</v>
      </c>
      <c r="H465" s="36" t="s">
        <v>913</v>
      </c>
      <c r="I465" s="40" t="s">
        <v>897</v>
      </c>
    </row>
    <row r="466" spans="1:9" ht="15.75" x14ac:dyDescent="0.25">
      <c r="A466" s="41">
        <f t="shared" si="7"/>
        <v>38</v>
      </c>
      <c r="B466" s="42">
        <v>45988</v>
      </c>
      <c r="C466" s="42">
        <v>45988</v>
      </c>
      <c r="D466" s="43">
        <v>497874161</v>
      </c>
      <c r="E466" s="41" t="s">
        <v>721</v>
      </c>
      <c r="F466" s="44">
        <v>34280</v>
      </c>
      <c r="G466" s="44"/>
      <c r="H466" s="41" t="s">
        <v>910</v>
      </c>
      <c r="I466" s="40" t="s">
        <v>897</v>
      </c>
    </row>
    <row r="467" spans="1:9" ht="15.75" x14ac:dyDescent="0.25">
      <c r="A467" s="36">
        <f t="shared" si="7"/>
        <v>39</v>
      </c>
      <c r="B467" s="37">
        <v>45989</v>
      </c>
      <c r="C467" s="37">
        <v>45989</v>
      </c>
      <c r="D467" s="38" t="s">
        <v>723</v>
      </c>
      <c r="E467" s="36" t="s">
        <v>722</v>
      </c>
      <c r="F467" s="39">
        <v>10276</v>
      </c>
      <c r="G467" s="39"/>
      <c r="H467" s="36" t="s">
        <v>903</v>
      </c>
      <c r="I467" s="40" t="s">
        <v>897</v>
      </c>
    </row>
    <row r="468" spans="1:9" ht="15.75" x14ac:dyDescent="0.25">
      <c r="A468" s="41">
        <f t="shared" si="7"/>
        <v>40</v>
      </c>
      <c r="B468" s="42">
        <v>45989</v>
      </c>
      <c r="C468" s="42">
        <v>45989</v>
      </c>
      <c r="D468" s="43" t="s">
        <v>725</v>
      </c>
      <c r="E468" s="41" t="s">
        <v>724</v>
      </c>
      <c r="F468" s="44"/>
      <c r="G468" s="44">
        <v>630</v>
      </c>
      <c r="H468" s="41" t="s">
        <v>903</v>
      </c>
      <c r="I468" s="40" t="s">
        <v>897</v>
      </c>
    </row>
    <row r="469" spans="1:9" ht="15.75" x14ac:dyDescent="0.25">
      <c r="A469" s="36">
        <f t="shared" si="7"/>
        <v>41</v>
      </c>
      <c r="B469" s="37">
        <v>45991</v>
      </c>
      <c r="C469" s="37">
        <v>45991</v>
      </c>
      <c r="D469" s="38" t="s">
        <v>727</v>
      </c>
      <c r="E469" s="36" t="s">
        <v>726</v>
      </c>
      <c r="F469" s="39">
        <v>5138</v>
      </c>
      <c r="G469" s="39"/>
      <c r="H469" s="36" t="s">
        <v>903</v>
      </c>
      <c r="I469" s="40" t="s">
        <v>897</v>
      </c>
    </row>
    <row r="470" spans="1:9" ht="15.75" x14ac:dyDescent="0.25">
      <c r="A470" s="41">
        <f t="shared" si="7"/>
        <v>42</v>
      </c>
      <c r="B470" s="42">
        <v>45992</v>
      </c>
      <c r="C470" s="42">
        <v>45992</v>
      </c>
      <c r="D470" s="43" t="s">
        <v>729</v>
      </c>
      <c r="E470" s="41" t="s">
        <v>728</v>
      </c>
      <c r="F470" s="44"/>
      <c r="G470" s="44">
        <v>30000</v>
      </c>
      <c r="H470" s="29" t="s">
        <v>896</v>
      </c>
      <c r="I470" s="40" t="s">
        <v>897</v>
      </c>
    </row>
    <row r="471" spans="1:9" ht="15.75" x14ac:dyDescent="0.25">
      <c r="A471" s="36">
        <f t="shared" si="7"/>
        <v>43</v>
      </c>
      <c r="B471" s="37">
        <v>45992</v>
      </c>
      <c r="C471" s="37">
        <v>45992</v>
      </c>
      <c r="D471" s="38" t="s">
        <v>731</v>
      </c>
      <c r="E471" s="36" t="s">
        <v>730</v>
      </c>
      <c r="F471" s="39">
        <v>30000</v>
      </c>
      <c r="G471" s="39"/>
      <c r="H471" s="36" t="s">
        <v>903</v>
      </c>
      <c r="I471" s="40" t="s">
        <v>897</v>
      </c>
    </row>
    <row r="472" spans="1:9" ht="15.75" x14ac:dyDescent="0.25">
      <c r="A472" s="41">
        <f t="shared" si="7"/>
        <v>44</v>
      </c>
      <c r="B472" s="42">
        <v>45994</v>
      </c>
      <c r="C472" s="42">
        <v>45994</v>
      </c>
      <c r="D472" s="43">
        <v>499010830</v>
      </c>
      <c r="E472" s="41" t="s">
        <v>64</v>
      </c>
      <c r="F472" s="44">
        <v>5138</v>
      </c>
      <c r="G472" s="44"/>
      <c r="H472" s="41" t="s">
        <v>909</v>
      </c>
      <c r="I472" s="40" t="s">
        <v>897</v>
      </c>
    </row>
    <row r="473" spans="1:9" ht="15.75" x14ac:dyDescent="0.25">
      <c r="A473" s="36">
        <f t="shared" si="7"/>
        <v>45</v>
      </c>
      <c r="B473" s="37">
        <v>45994</v>
      </c>
      <c r="C473" s="37">
        <v>45994</v>
      </c>
      <c r="D473" s="38" t="s">
        <v>733</v>
      </c>
      <c r="E473" s="36" t="s">
        <v>732</v>
      </c>
      <c r="F473" s="39"/>
      <c r="G473" s="39">
        <v>4500</v>
      </c>
      <c r="H473" s="36" t="s">
        <v>903</v>
      </c>
      <c r="I473" s="40" t="s">
        <v>897</v>
      </c>
    </row>
    <row r="474" spans="1:9" ht="15.75" x14ac:dyDescent="0.25">
      <c r="A474" s="41">
        <f t="shared" si="7"/>
        <v>46</v>
      </c>
      <c r="B474" s="42">
        <v>45996</v>
      </c>
      <c r="C474" s="42">
        <v>45996</v>
      </c>
      <c r="D474" s="43" t="s">
        <v>735</v>
      </c>
      <c r="E474" s="41" t="s">
        <v>734</v>
      </c>
      <c r="F474" s="44"/>
      <c r="G474" s="44">
        <v>4671</v>
      </c>
      <c r="H474" s="41" t="s">
        <v>903</v>
      </c>
      <c r="I474" s="40" t="s">
        <v>897</v>
      </c>
    </row>
    <row r="475" spans="1:9" ht="15.75" x14ac:dyDescent="0.25">
      <c r="A475" s="36">
        <f t="shared" si="7"/>
        <v>47</v>
      </c>
      <c r="B475" s="37">
        <v>45999</v>
      </c>
      <c r="C475" s="37">
        <v>45999</v>
      </c>
      <c r="D475" s="38" t="s">
        <v>737</v>
      </c>
      <c r="E475" s="36" t="s">
        <v>736</v>
      </c>
      <c r="F475" s="39">
        <v>1000</v>
      </c>
      <c r="G475" s="39"/>
      <c r="H475" s="45" t="s">
        <v>907</v>
      </c>
      <c r="I475" s="40" t="s">
        <v>897</v>
      </c>
    </row>
    <row r="476" spans="1:9" ht="15.75" x14ac:dyDescent="0.25">
      <c r="A476" s="41">
        <f t="shared" si="7"/>
        <v>48</v>
      </c>
      <c r="B476" s="42">
        <v>46000</v>
      </c>
      <c r="C476" s="42">
        <v>46000</v>
      </c>
      <c r="D476" s="43" t="s">
        <v>739</v>
      </c>
      <c r="E476" s="41" t="s">
        <v>738</v>
      </c>
      <c r="F476" s="44"/>
      <c r="G476" s="44">
        <v>1950</v>
      </c>
      <c r="H476" s="41" t="s">
        <v>913</v>
      </c>
      <c r="I476" s="40" t="s">
        <v>897</v>
      </c>
    </row>
    <row r="477" spans="1:9" ht="15.75" x14ac:dyDescent="0.25">
      <c r="A477" s="36">
        <f t="shared" si="7"/>
        <v>49</v>
      </c>
      <c r="B477" s="37">
        <v>46002</v>
      </c>
      <c r="C477" s="37">
        <v>46002</v>
      </c>
      <c r="D477" s="38" t="s">
        <v>741</v>
      </c>
      <c r="E477" s="36" t="s">
        <v>740</v>
      </c>
      <c r="F477" s="39">
        <v>818</v>
      </c>
      <c r="G477" s="39"/>
      <c r="H477" s="36" t="s">
        <v>904</v>
      </c>
      <c r="I477" s="40" t="s">
        <v>897</v>
      </c>
    </row>
    <row r="478" spans="1:9" ht="15.75" x14ac:dyDescent="0.25">
      <c r="A478" s="41">
        <f t="shared" si="7"/>
        <v>50</v>
      </c>
      <c r="B478" s="42">
        <v>46004</v>
      </c>
      <c r="C478" s="42">
        <v>46004</v>
      </c>
      <c r="D478" s="43" t="s">
        <v>743</v>
      </c>
      <c r="E478" s="41" t="s">
        <v>742</v>
      </c>
      <c r="F478" s="44"/>
      <c r="G478" s="44">
        <v>25690</v>
      </c>
      <c r="H478" s="29" t="s">
        <v>896</v>
      </c>
      <c r="I478" s="40" t="s">
        <v>897</v>
      </c>
    </row>
    <row r="479" spans="1:9" ht="15.75" x14ac:dyDescent="0.25">
      <c r="A479" s="36">
        <f t="shared" si="7"/>
        <v>51</v>
      </c>
      <c r="B479" s="37">
        <v>46006</v>
      </c>
      <c r="C479" s="37">
        <v>46006</v>
      </c>
      <c r="D479" s="38" t="s">
        <v>745</v>
      </c>
      <c r="E479" s="36" t="s">
        <v>744</v>
      </c>
      <c r="F479" s="39"/>
      <c r="G479" s="39">
        <v>5000</v>
      </c>
      <c r="H479" s="45" t="s">
        <v>905</v>
      </c>
      <c r="I479" s="40" t="s">
        <v>897</v>
      </c>
    </row>
    <row r="480" spans="1:9" ht="15.75" x14ac:dyDescent="0.25">
      <c r="A480" s="41">
        <f t="shared" si="7"/>
        <v>52</v>
      </c>
      <c r="B480" s="42">
        <v>46011</v>
      </c>
      <c r="C480" s="42">
        <v>46011</v>
      </c>
      <c r="D480" s="43" t="s">
        <v>747</v>
      </c>
      <c r="E480" s="41" t="s">
        <v>746</v>
      </c>
      <c r="F480" s="44"/>
      <c r="G480" s="44">
        <v>4821</v>
      </c>
      <c r="H480" s="45" t="s">
        <v>905</v>
      </c>
      <c r="I480" s="40" t="s">
        <v>897</v>
      </c>
    </row>
    <row r="481" spans="1:9" ht="15.75" x14ac:dyDescent="0.25">
      <c r="A481" s="36">
        <f t="shared" si="7"/>
        <v>53</v>
      </c>
      <c r="B481" s="37">
        <v>46011</v>
      </c>
      <c r="C481" s="37">
        <v>46011</v>
      </c>
      <c r="D481" s="38" t="s">
        <v>749</v>
      </c>
      <c r="E481" s="36" t="s">
        <v>748</v>
      </c>
      <c r="F481" s="39">
        <v>579</v>
      </c>
      <c r="G481" s="39"/>
      <c r="H481" s="45" t="s">
        <v>907</v>
      </c>
      <c r="I481" s="40" t="s">
        <v>897</v>
      </c>
    </row>
    <row r="482" spans="1:9" ht="15.75" x14ac:dyDescent="0.25">
      <c r="A482" s="41">
        <f t="shared" si="7"/>
        <v>54</v>
      </c>
      <c r="B482" s="42">
        <v>46011</v>
      </c>
      <c r="C482" s="42">
        <v>46011</v>
      </c>
      <c r="D482" s="43" t="s">
        <v>751</v>
      </c>
      <c r="E482" s="41" t="s">
        <v>750</v>
      </c>
      <c r="F482" s="44"/>
      <c r="G482" s="44">
        <v>4367</v>
      </c>
      <c r="H482" s="45" t="s">
        <v>905</v>
      </c>
      <c r="I482" s="40" t="s">
        <v>897</v>
      </c>
    </row>
    <row r="483" spans="1:9" ht="15.75" x14ac:dyDescent="0.25">
      <c r="A483" s="36">
        <f t="shared" si="7"/>
        <v>55</v>
      </c>
      <c r="B483" s="37">
        <v>46013</v>
      </c>
      <c r="C483" s="37">
        <v>46013</v>
      </c>
      <c r="D483" s="38" t="s">
        <v>753</v>
      </c>
      <c r="E483" s="36" t="s">
        <v>752</v>
      </c>
      <c r="F483" s="39"/>
      <c r="G483" s="39">
        <v>4700</v>
      </c>
      <c r="H483" s="45" t="s">
        <v>905</v>
      </c>
      <c r="I483" s="40" t="s">
        <v>897</v>
      </c>
    </row>
    <row r="484" spans="1:9" ht="15.75" x14ac:dyDescent="0.25">
      <c r="A484" s="41">
        <f t="shared" si="7"/>
        <v>56</v>
      </c>
      <c r="B484" s="42">
        <v>46013</v>
      </c>
      <c r="C484" s="42">
        <v>46013</v>
      </c>
      <c r="D484" s="43" t="s">
        <v>755</v>
      </c>
      <c r="E484" s="41" t="s">
        <v>754</v>
      </c>
      <c r="F484" s="44"/>
      <c r="G484" s="44">
        <v>8897</v>
      </c>
      <c r="H484" s="45" t="s">
        <v>905</v>
      </c>
      <c r="I484" s="40" t="s">
        <v>897</v>
      </c>
    </row>
    <row r="485" spans="1:9" ht="15.75" x14ac:dyDescent="0.25">
      <c r="A485" s="36">
        <f t="shared" si="7"/>
        <v>57</v>
      </c>
      <c r="B485" s="37">
        <v>46018</v>
      </c>
      <c r="C485" s="37">
        <v>46018</v>
      </c>
      <c r="D485" s="38" t="s">
        <v>757</v>
      </c>
      <c r="E485" s="36" t="s">
        <v>756</v>
      </c>
      <c r="F485" s="39">
        <v>577</v>
      </c>
      <c r="G485" s="39"/>
      <c r="H485" s="36" t="s">
        <v>904</v>
      </c>
      <c r="I485" s="40" t="s">
        <v>897</v>
      </c>
    </row>
    <row r="486" spans="1:9" ht="15.75" x14ac:dyDescent="0.25">
      <c r="A486" s="41">
        <f t="shared" si="7"/>
        <v>58</v>
      </c>
      <c r="B486" s="42">
        <v>46018</v>
      </c>
      <c r="C486" s="42">
        <v>46018</v>
      </c>
      <c r="D486" s="43" t="s">
        <v>759</v>
      </c>
      <c r="E486" s="41" t="s">
        <v>758</v>
      </c>
      <c r="F486" s="44"/>
      <c r="G486" s="44">
        <v>5000</v>
      </c>
      <c r="H486" s="45" t="s">
        <v>905</v>
      </c>
      <c r="I486" s="40" t="s">
        <v>897</v>
      </c>
    </row>
    <row r="487" spans="1:9" ht="15.75" x14ac:dyDescent="0.25">
      <c r="A487" s="36">
        <f t="shared" si="7"/>
        <v>59</v>
      </c>
      <c r="B487" s="37">
        <v>46018</v>
      </c>
      <c r="C487" s="37">
        <v>46018</v>
      </c>
      <c r="D487" s="38" t="s">
        <v>761</v>
      </c>
      <c r="E487" s="36" t="s">
        <v>760</v>
      </c>
      <c r="F487" s="39"/>
      <c r="G487" s="39">
        <v>4875</v>
      </c>
      <c r="H487" s="45" t="s">
        <v>905</v>
      </c>
      <c r="I487" s="40" t="s">
        <v>897</v>
      </c>
    </row>
    <row r="488" spans="1:9" ht="15.75" x14ac:dyDescent="0.25">
      <c r="A488" s="41">
        <f t="shared" si="7"/>
        <v>60</v>
      </c>
      <c r="B488" s="42">
        <v>46018</v>
      </c>
      <c r="C488" s="42">
        <v>46018</v>
      </c>
      <c r="D488" s="43" t="s">
        <v>763</v>
      </c>
      <c r="E488" s="41" t="s">
        <v>762</v>
      </c>
      <c r="F488" s="44"/>
      <c r="G488" s="44">
        <v>3000</v>
      </c>
      <c r="H488" s="45" t="s">
        <v>905</v>
      </c>
      <c r="I488" s="40" t="s">
        <v>897</v>
      </c>
    </row>
    <row r="489" spans="1:9" ht="15.75" x14ac:dyDescent="0.25">
      <c r="A489" s="36">
        <f t="shared" si="7"/>
        <v>61</v>
      </c>
      <c r="B489" s="37">
        <v>46018</v>
      </c>
      <c r="C489" s="37">
        <v>46018</v>
      </c>
      <c r="D489" s="38" t="s">
        <v>765</v>
      </c>
      <c r="E489" s="36" t="s">
        <v>764</v>
      </c>
      <c r="F489" s="39"/>
      <c r="G489" s="39">
        <v>5138</v>
      </c>
      <c r="H489" s="45" t="s">
        <v>905</v>
      </c>
      <c r="I489" s="40" t="s">
        <v>897</v>
      </c>
    </row>
    <row r="490" spans="1:9" ht="15.75" x14ac:dyDescent="0.25">
      <c r="A490" s="41">
        <f t="shared" si="7"/>
        <v>62</v>
      </c>
      <c r="B490" s="42">
        <v>46020</v>
      </c>
      <c r="C490" s="42">
        <v>46020</v>
      </c>
      <c r="D490" s="43" t="s">
        <v>767</v>
      </c>
      <c r="E490" s="41" t="s">
        <v>766</v>
      </c>
      <c r="F490" s="44">
        <v>2925</v>
      </c>
      <c r="G490" s="44"/>
      <c r="H490" s="45" t="s">
        <v>907</v>
      </c>
      <c r="I490" s="40" t="s">
        <v>897</v>
      </c>
    </row>
    <row r="491" spans="1:9" ht="15.75" x14ac:dyDescent="0.25">
      <c r="A491" s="36">
        <f t="shared" si="7"/>
        <v>63</v>
      </c>
      <c r="B491" s="37">
        <v>46021</v>
      </c>
      <c r="C491" s="37">
        <v>46021</v>
      </c>
      <c r="D491" s="38" t="s">
        <v>769</v>
      </c>
      <c r="E491" s="36" t="s">
        <v>768</v>
      </c>
      <c r="F491" s="39"/>
      <c r="G491" s="39">
        <v>5138</v>
      </c>
      <c r="H491" s="45" t="s">
        <v>905</v>
      </c>
      <c r="I491" s="40" t="s">
        <v>897</v>
      </c>
    </row>
    <row r="492" spans="1:9" ht="15.75" x14ac:dyDescent="0.25">
      <c r="A492" s="41">
        <f t="shared" si="7"/>
        <v>64</v>
      </c>
      <c r="B492" s="42">
        <v>46021</v>
      </c>
      <c r="C492" s="42">
        <v>46021</v>
      </c>
      <c r="D492" s="43" t="s">
        <v>771</v>
      </c>
      <c r="E492" s="41" t="s">
        <v>770</v>
      </c>
      <c r="F492" s="44"/>
      <c r="G492" s="44">
        <v>6100</v>
      </c>
      <c r="H492" s="45" t="s">
        <v>905</v>
      </c>
      <c r="I492" s="40" t="s">
        <v>897</v>
      </c>
    </row>
    <row r="493" spans="1:9" ht="15.75" x14ac:dyDescent="0.25">
      <c r="A493" s="36">
        <f t="shared" si="7"/>
        <v>65</v>
      </c>
      <c r="B493" s="37">
        <v>46021</v>
      </c>
      <c r="C493" s="37">
        <v>46021</v>
      </c>
      <c r="D493" s="38" t="s">
        <v>773</v>
      </c>
      <c r="E493" s="36" t="s">
        <v>772</v>
      </c>
      <c r="F493" s="39">
        <v>1000</v>
      </c>
      <c r="G493" s="39"/>
      <c r="H493" s="45" t="s">
        <v>907</v>
      </c>
      <c r="I493" s="40" t="s">
        <v>897</v>
      </c>
    </row>
    <row r="494" spans="1:9" ht="15.75" x14ac:dyDescent="0.25">
      <c r="A494" s="41">
        <f t="shared" ref="A494:A557" si="8">1+A493</f>
        <v>66</v>
      </c>
      <c r="B494" s="42">
        <v>46022</v>
      </c>
      <c r="C494" s="42">
        <v>46022</v>
      </c>
      <c r="D494" s="43" t="s">
        <v>775</v>
      </c>
      <c r="E494" s="41" t="s">
        <v>774</v>
      </c>
      <c r="F494" s="44">
        <v>790</v>
      </c>
      <c r="G494" s="44"/>
      <c r="H494" s="45" t="s">
        <v>907</v>
      </c>
      <c r="I494" s="40" t="s">
        <v>897</v>
      </c>
    </row>
    <row r="495" spans="1:9" ht="15.75" x14ac:dyDescent="0.25">
      <c r="A495" s="36">
        <f t="shared" si="8"/>
        <v>67</v>
      </c>
      <c r="B495" s="37">
        <v>46024</v>
      </c>
      <c r="C495" s="37">
        <v>46024</v>
      </c>
      <c r="D495" s="38" t="s">
        <v>777</v>
      </c>
      <c r="E495" s="36" t="s">
        <v>776</v>
      </c>
      <c r="F495" s="39"/>
      <c r="G495" s="39">
        <v>4671</v>
      </c>
      <c r="H495" s="45" t="s">
        <v>905</v>
      </c>
      <c r="I495" s="40" t="s">
        <v>897</v>
      </c>
    </row>
    <row r="496" spans="1:9" ht="15.75" x14ac:dyDescent="0.25">
      <c r="A496" s="41">
        <f t="shared" si="8"/>
        <v>68</v>
      </c>
      <c r="B496" s="42">
        <v>46024</v>
      </c>
      <c r="C496" s="42">
        <v>46024</v>
      </c>
      <c r="D496" s="43" t="s">
        <v>779</v>
      </c>
      <c r="E496" s="41" t="s">
        <v>778</v>
      </c>
      <c r="F496" s="44"/>
      <c r="G496" s="44">
        <v>14013</v>
      </c>
      <c r="H496" s="41" t="s">
        <v>906</v>
      </c>
      <c r="I496" s="40" t="s">
        <v>897</v>
      </c>
    </row>
    <row r="497" spans="1:9" ht="15.75" x14ac:dyDescent="0.25">
      <c r="A497" s="36">
        <f t="shared" si="8"/>
        <v>69</v>
      </c>
      <c r="B497" s="37">
        <v>46027</v>
      </c>
      <c r="C497" s="37">
        <v>46027</v>
      </c>
      <c r="D497" s="38" t="s">
        <v>781</v>
      </c>
      <c r="E497" s="36" t="s">
        <v>780</v>
      </c>
      <c r="F497" s="39"/>
      <c r="G497" s="39">
        <v>6400</v>
      </c>
      <c r="H497" s="45" t="s">
        <v>905</v>
      </c>
      <c r="I497" s="40" t="s">
        <v>897</v>
      </c>
    </row>
    <row r="498" spans="1:9" ht="15.75" x14ac:dyDescent="0.25">
      <c r="A498" s="41">
        <f t="shared" si="8"/>
        <v>70</v>
      </c>
      <c r="B498" s="42">
        <v>46028</v>
      </c>
      <c r="C498" s="42">
        <v>46028</v>
      </c>
      <c r="D498" s="43" t="s">
        <v>783</v>
      </c>
      <c r="E498" s="41" t="s">
        <v>782</v>
      </c>
      <c r="F498" s="44">
        <v>9800</v>
      </c>
      <c r="G498" s="44"/>
      <c r="H498" s="41" t="s">
        <v>926</v>
      </c>
      <c r="I498" s="40" t="s">
        <v>897</v>
      </c>
    </row>
    <row r="499" spans="1:9" ht="15.75" x14ac:dyDescent="0.25">
      <c r="A499" s="36">
        <f t="shared" si="8"/>
        <v>71</v>
      </c>
      <c r="B499" s="37">
        <v>46029</v>
      </c>
      <c r="C499" s="37">
        <v>46029</v>
      </c>
      <c r="D499" s="38">
        <v>505745993</v>
      </c>
      <c r="E499" s="36" t="s">
        <v>784</v>
      </c>
      <c r="F499" s="39">
        <v>25000</v>
      </c>
      <c r="G499" s="39"/>
      <c r="H499" s="36" t="s">
        <v>903</v>
      </c>
      <c r="I499" s="40" t="s">
        <v>897</v>
      </c>
    </row>
    <row r="500" spans="1:9" ht="15.75" x14ac:dyDescent="0.25">
      <c r="A500" s="41">
        <f t="shared" si="8"/>
        <v>72</v>
      </c>
      <c r="B500" s="42">
        <v>46029</v>
      </c>
      <c r="C500" s="42">
        <v>46029</v>
      </c>
      <c r="D500" s="43" t="s">
        <v>786</v>
      </c>
      <c r="E500" s="41" t="s">
        <v>785</v>
      </c>
      <c r="F500" s="44"/>
      <c r="G500" s="44">
        <v>4671</v>
      </c>
      <c r="H500" s="45" t="s">
        <v>905</v>
      </c>
      <c r="I500" s="40" t="s">
        <v>897</v>
      </c>
    </row>
    <row r="501" spans="1:9" ht="15.75" x14ac:dyDescent="0.25">
      <c r="A501" s="36">
        <f t="shared" si="8"/>
        <v>73</v>
      </c>
      <c r="B501" s="37">
        <v>46030</v>
      </c>
      <c r="C501" s="37">
        <v>46030</v>
      </c>
      <c r="D501" s="38" t="s">
        <v>788</v>
      </c>
      <c r="E501" s="36" t="s">
        <v>787</v>
      </c>
      <c r="F501" s="39">
        <v>797</v>
      </c>
      <c r="G501" s="39"/>
      <c r="H501" s="45" t="s">
        <v>907</v>
      </c>
      <c r="I501" s="40" t="s">
        <v>897</v>
      </c>
    </row>
    <row r="502" spans="1:9" ht="15.75" x14ac:dyDescent="0.25">
      <c r="A502" s="41">
        <f t="shared" si="8"/>
        <v>74</v>
      </c>
      <c r="B502" s="42">
        <v>46030</v>
      </c>
      <c r="C502" s="42">
        <v>46030</v>
      </c>
      <c r="D502" s="43" t="s">
        <v>790</v>
      </c>
      <c r="E502" s="41" t="s">
        <v>789</v>
      </c>
      <c r="F502" s="44">
        <v>10276</v>
      </c>
      <c r="G502" s="44"/>
      <c r="H502" s="41" t="s">
        <v>902</v>
      </c>
      <c r="I502" s="40" t="s">
        <v>897</v>
      </c>
    </row>
    <row r="503" spans="1:9" ht="15.75" x14ac:dyDescent="0.25">
      <c r="A503" s="36">
        <f t="shared" si="8"/>
        <v>75</v>
      </c>
      <c r="B503" s="37">
        <v>46030</v>
      </c>
      <c r="C503" s="37">
        <v>46030</v>
      </c>
      <c r="D503" s="38" t="s">
        <v>792</v>
      </c>
      <c r="E503" s="36" t="s">
        <v>791</v>
      </c>
      <c r="F503" s="39"/>
      <c r="G503" s="39">
        <v>1</v>
      </c>
      <c r="H503" s="45" t="s">
        <v>903</v>
      </c>
      <c r="I503" s="40" t="s">
        <v>897</v>
      </c>
    </row>
    <row r="504" spans="1:9" ht="15.75" x14ac:dyDescent="0.25">
      <c r="A504" s="41">
        <f t="shared" si="8"/>
        <v>76</v>
      </c>
      <c r="B504" s="42">
        <v>46032</v>
      </c>
      <c r="C504" s="42">
        <v>46032</v>
      </c>
      <c r="D504" s="43" t="s">
        <v>794</v>
      </c>
      <c r="E504" s="41" t="s">
        <v>793</v>
      </c>
      <c r="F504" s="44"/>
      <c r="G504" s="44">
        <v>4000</v>
      </c>
      <c r="H504" s="45" t="s">
        <v>903</v>
      </c>
      <c r="I504" s="40" t="s">
        <v>897</v>
      </c>
    </row>
    <row r="505" spans="1:9" ht="15.75" x14ac:dyDescent="0.25">
      <c r="A505" s="36">
        <f t="shared" si="8"/>
        <v>77</v>
      </c>
      <c r="B505" s="37">
        <v>46032</v>
      </c>
      <c r="C505" s="37">
        <v>46032</v>
      </c>
      <c r="D505" s="38" t="s">
        <v>796</v>
      </c>
      <c r="E505" s="36" t="s">
        <v>795</v>
      </c>
      <c r="F505" s="39">
        <v>1000</v>
      </c>
      <c r="G505" s="39"/>
      <c r="H505" s="45" t="s">
        <v>903</v>
      </c>
      <c r="I505" s="40" t="s">
        <v>897</v>
      </c>
    </row>
    <row r="506" spans="1:9" ht="15.75" x14ac:dyDescent="0.25">
      <c r="A506" s="41">
        <f t="shared" si="8"/>
        <v>78</v>
      </c>
      <c r="B506" s="42">
        <v>46032</v>
      </c>
      <c r="C506" s="42">
        <v>46032</v>
      </c>
      <c r="D506" s="43" t="s">
        <v>798</v>
      </c>
      <c r="E506" s="41" t="s">
        <v>797</v>
      </c>
      <c r="F506" s="44">
        <v>809</v>
      </c>
      <c r="G506" s="44"/>
      <c r="H506" s="41" t="s">
        <v>904</v>
      </c>
      <c r="I506" s="40" t="s">
        <v>897</v>
      </c>
    </row>
    <row r="507" spans="1:9" ht="15.75" x14ac:dyDescent="0.25">
      <c r="A507" s="36">
        <f t="shared" si="8"/>
        <v>79</v>
      </c>
      <c r="B507" s="37">
        <v>46032</v>
      </c>
      <c r="C507" s="37">
        <v>46032</v>
      </c>
      <c r="D507" s="38" t="s">
        <v>800</v>
      </c>
      <c r="E507" s="36" t="s">
        <v>799</v>
      </c>
      <c r="F507" s="39"/>
      <c r="G507" s="39">
        <v>4200</v>
      </c>
      <c r="H507" s="45" t="s">
        <v>905</v>
      </c>
      <c r="I507" s="40" t="s">
        <v>897</v>
      </c>
    </row>
    <row r="508" spans="1:9" ht="15.75" x14ac:dyDescent="0.25">
      <c r="A508" s="41">
        <f t="shared" si="8"/>
        <v>80</v>
      </c>
      <c r="B508" s="42">
        <v>46035</v>
      </c>
      <c r="C508" s="42">
        <v>46035</v>
      </c>
      <c r="D508" s="43" t="s">
        <v>802</v>
      </c>
      <c r="E508" s="41" t="s">
        <v>801</v>
      </c>
      <c r="F508" s="44"/>
      <c r="G508" s="44">
        <v>4671</v>
      </c>
      <c r="H508" s="45" t="s">
        <v>905</v>
      </c>
      <c r="I508" s="40" t="s">
        <v>897</v>
      </c>
    </row>
    <row r="509" spans="1:9" ht="15.75" x14ac:dyDescent="0.25">
      <c r="A509" s="36">
        <f t="shared" si="8"/>
        <v>81</v>
      </c>
      <c r="B509" s="37">
        <v>46035</v>
      </c>
      <c r="C509" s="37">
        <v>46035</v>
      </c>
      <c r="D509" s="38" t="s">
        <v>804</v>
      </c>
      <c r="E509" s="36" t="s">
        <v>803</v>
      </c>
      <c r="F509" s="39"/>
      <c r="G509" s="39">
        <v>4921</v>
      </c>
      <c r="H509" s="45" t="s">
        <v>905</v>
      </c>
      <c r="I509" s="40" t="s">
        <v>897</v>
      </c>
    </row>
    <row r="510" spans="1:9" ht="15.75" x14ac:dyDescent="0.25">
      <c r="A510" s="41">
        <f t="shared" si="8"/>
        <v>82</v>
      </c>
      <c r="B510" s="42">
        <v>46036</v>
      </c>
      <c r="C510" s="42">
        <v>46036</v>
      </c>
      <c r="D510" s="43" t="s">
        <v>806</v>
      </c>
      <c r="E510" s="41" t="s">
        <v>805</v>
      </c>
      <c r="F510" s="44">
        <v>16388</v>
      </c>
      <c r="G510" s="44"/>
      <c r="H510" s="45" t="s">
        <v>907</v>
      </c>
      <c r="I510" s="40" t="s">
        <v>897</v>
      </c>
    </row>
    <row r="511" spans="1:9" ht="15.75" x14ac:dyDescent="0.25">
      <c r="A511" s="36">
        <f t="shared" si="8"/>
        <v>83</v>
      </c>
      <c r="B511" s="37">
        <v>46036</v>
      </c>
      <c r="C511" s="37">
        <v>46036</v>
      </c>
      <c r="D511" s="38">
        <v>507292627</v>
      </c>
      <c r="E511" s="36" t="s">
        <v>807</v>
      </c>
      <c r="F511" s="39">
        <v>2922</v>
      </c>
      <c r="G511" s="39"/>
      <c r="H511" s="45" t="s">
        <v>903</v>
      </c>
      <c r="I511" s="40" t="s">
        <v>897</v>
      </c>
    </row>
    <row r="512" spans="1:9" ht="15.75" x14ac:dyDescent="0.25">
      <c r="A512" s="41">
        <f t="shared" si="8"/>
        <v>84</v>
      </c>
      <c r="B512" s="42">
        <v>46036</v>
      </c>
      <c r="C512" s="42">
        <v>46036</v>
      </c>
      <c r="D512" s="43" t="s">
        <v>809</v>
      </c>
      <c r="E512" s="41" t="s">
        <v>808</v>
      </c>
      <c r="F512" s="44"/>
      <c r="G512" s="44">
        <v>4200</v>
      </c>
      <c r="H512" s="45" t="s">
        <v>905</v>
      </c>
      <c r="I512" s="40" t="s">
        <v>897</v>
      </c>
    </row>
    <row r="513" spans="1:9" ht="15.75" x14ac:dyDescent="0.25">
      <c r="A513" s="36">
        <f t="shared" si="8"/>
        <v>85</v>
      </c>
      <c r="B513" s="37">
        <v>46038</v>
      </c>
      <c r="C513" s="37">
        <v>46038</v>
      </c>
      <c r="D513" s="38">
        <v>507688991</v>
      </c>
      <c r="E513" s="36" t="s">
        <v>64</v>
      </c>
      <c r="F513" s="39">
        <v>10000</v>
      </c>
      <c r="G513" s="39"/>
      <c r="H513" s="36" t="s">
        <v>909</v>
      </c>
      <c r="I513" s="40" t="s">
        <v>897</v>
      </c>
    </row>
    <row r="514" spans="1:9" ht="15.75" x14ac:dyDescent="0.25">
      <c r="A514" s="41">
        <f t="shared" si="8"/>
        <v>86</v>
      </c>
      <c r="B514" s="42">
        <v>46039</v>
      </c>
      <c r="C514" s="42">
        <v>46039</v>
      </c>
      <c r="D514" s="43" t="s">
        <v>811</v>
      </c>
      <c r="E514" s="41" t="s">
        <v>810</v>
      </c>
      <c r="F514" s="44"/>
      <c r="G514" s="44">
        <v>5138</v>
      </c>
      <c r="H514" s="45" t="s">
        <v>905</v>
      </c>
      <c r="I514" s="40" t="s">
        <v>897</v>
      </c>
    </row>
    <row r="515" spans="1:9" ht="15.75" x14ac:dyDescent="0.25">
      <c r="A515" s="36">
        <f t="shared" si="8"/>
        <v>87</v>
      </c>
      <c r="B515" s="37">
        <v>46039</v>
      </c>
      <c r="C515" s="37">
        <v>46039</v>
      </c>
      <c r="D515" s="38" t="s">
        <v>813</v>
      </c>
      <c r="E515" s="36" t="s">
        <v>812</v>
      </c>
      <c r="F515" s="39"/>
      <c r="G515" s="39">
        <v>8897</v>
      </c>
      <c r="H515" s="45" t="s">
        <v>905</v>
      </c>
      <c r="I515" s="40" t="s">
        <v>897</v>
      </c>
    </row>
    <row r="516" spans="1:9" ht="15.75" x14ac:dyDescent="0.25">
      <c r="A516" s="41">
        <f t="shared" si="8"/>
        <v>88</v>
      </c>
      <c r="B516" s="42">
        <v>46042</v>
      </c>
      <c r="C516" s="42">
        <v>46042</v>
      </c>
      <c r="D516" s="43">
        <v>508254096</v>
      </c>
      <c r="E516" s="41" t="s">
        <v>64</v>
      </c>
      <c r="F516" s="44">
        <v>20000</v>
      </c>
      <c r="G516" s="44"/>
      <c r="H516" s="41" t="s">
        <v>909</v>
      </c>
      <c r="I516" s="40" t="s">
        <v>897</v>
      </c>
    </row>
    <row r="517" spans="1:9" ht="15.75" x14ac:dyDescent="0.25">
      <c r="A517" s="36">
        <f t="shared" si="8"/>
        <v>89</v>
      </c>
      <c r="B517" s="37">
        <v>46044</v>
      </c>
      <c r="C517" s="37">
        <v>46044</v>
      </c>
      <c r="D517" s="38" t="s">
        <v>815</v>
      </c>
      <c r="E517" s="36" t="s">
        <v>814</v>
      </c>
      <c r="F517" s="39">
        <v>113</v>
      </c>
      <c r="G517" s="39"/>
      <c r="H517" s="45" t="s">
        <v>907</v>
      </c>
      <c r="I517" s="40" t="s">
        <v>897</v>
      </c>
    </row>
    <row r="518" spans="1:9" ht="15.75" x14ac:dyDescent="0.25">
      <c r="A518" s="41">
        <f t="shared" si="8"/>
        <v>90</v>
      </c>
      <c r="B518" s="42">
        <v>46044</v>
      </c>
      <c r="C518" s="42">
        <v>46044</v>
      </c>
      <c r="D518" s="43" t="s">
        <v>817</v>
      </c>
      <c r="E518" s="41" t="s">
        <v>816</v>
      </c>
      <c r="F518" s="44">
        <v>5752</v>
      </c>
      <c r="G518" s="44"/>
      <c r="H518" s="41" t="s">
        <v>915</v>
      </c>
      <c r="I518" s="40" t="s">
        <v>897</v>
      </c>
    </row>
    <row r="519" spans="1:9" ht="15.75" x14ac:dyDescent="0.25">
      <c r="A519" s="36">
        <f t="shared" si="8"/>
        <v>91</v>
      </c>
      <c r="B519" s="37">
        <v>46045</v>
      </c>
      <c r="C519" s="37">
        <v>46045</v>
      </c>
      <c r="D519" s="38" t="s">
        <v>819</v>
      </c>
      <c r="E519" s="36" t="s">
        <v>818</v>
      </c>
      <c r="F519" s="39"/>
      <c r="G519" s="39">
        <v>5388</v>
      </c>
      <c r="H519" s="45" t="s">
        <v>905</v>
      </c>
      <c r="I519" s="40" t="s">
        <v>897</v>
      </c>
    </row>
    <row r="520" spans="1:9" ht="15.75" x14ac:dyDescent="0.25">
      <c r="A520" s="41">
        <f t="shared" si="8"/>
        <v>92</v>
      </c>
      <c r="B520" s="42">
        <v>46045</v>
      </c>
      <c r="C520" s="42">
        <v>46045</v>
      </c>
      <c r="D520" s="43" t="s">
        <v>821</v>
      </c>
      <c r="E520" s="41" t="s">
        <v>820</v>
      </c>
      <c r="F520" s="44"/>
      <c r="G520" s="44">
        <v>10276</v>
      </c>
      <c r="H520" s="45" t="s">
        <v>905</v>
      </c>
      <c r="I520" s="40" t="s">
        <v>897</v>
      </c>
    </row>
    <row r="521" spans="1:9" ht="15.75" x14ac:dyDescent="0.25">
      <c r="A521" s="36">
        <f t="shared" si="8"/>
        <v>93</v>
      </c>
      <c r="B521" s="37">
        <v>46049</v>
      </c>
      <c r="C521" s="37">
        <v>46049</v>
      </c>
      <c r="D521" s="38" t="s">
        <v>823</v>
      </c>
      <c r="E521" s="36" t="s">
        <v>822</v>
      </c>
      <c r="F521" s="39"/>
      <c r="G521" s="39">
        <v>4600</v>
      </c>
      <c r="H521" s="45" t="s">
        <v>905</v>
      </c>
      <c r="I521" s="40" t="s">
        <v>897</v>
      </c>
    </row>
    <row r="522" spans="1:9" ht="15.75" x14ac:dyDescent="0.25">
      <c r="A522" s="41">
        <f t="shared" si="8"/>
        <v>94</v>
      </c>
      <c r="B522" s="42">
        <v>46049</v>
      </c>
      <c r="C522" s="42">
        <v>46049</v>
      </c>
      <c r="D522" s="43" t="s">
        <v>825</v>
      </c>
      <c r="E522" s="41" t="s">
        <v>824</v>
      </c>
      <c r="F522" s="44"/>
      <c r="G522" s="44">
        <v>5438</v>
      </c>
      <c r="H522" s="45" t="s">
        <v>905</v>
      </c>
      <c r="I522" s="40" t="s">
        <v>897</v>
      </c>
    </row>
    <row r="523" spans="1:9" ht="15.75" x14ac:dyDescent="0.25">
      <c r="A523" s="36">
        <f t="shared" si="8"/>
        <v>95</v>
      </c>
      <c r="B523" s="37">
        <v>46053</v>
      </c>
      <c r="C523" s="37">
        <v>46053</v>
      </c>
      <c r="D523" s="38" t="s">
        <v>827</v>
      </c>
      <c r="E523" s="36" t="s">
        <v>826</v>
      </c>
      <c r="F523" s="39"/>
      <c r="G523" s="39">
        <v>17200</v>
      </c>
      <c r="H523" s="45" t="s">
        <v>905</v>
      </c>
      <c r="I523" s="40" t="s">
        <v>897</v>
      </c>
    </row>
    <row r="524" spans="1:9" ht="15.75" x14ac:dyDescent="0.25">
      <c r="A524" s="41">
        <f t="shared" si="8"/>
        <v>96</v>
      </c>
      <c r="B524" s="42">
        <v>46053</v>
      </c>
      <c r="C524" s="42">
        <v>46053</v>
      </c>
      <c r="D524" s="43" t="s">
        <v>829</v>
      </c>
      <c r="E524" s="41" t="s">
        <v>828</v>
      </c>
      <c r="F524" s="44"/>
      <c r="G524" s="44">
        <v>2000</v>
      </c>
      <c r="H524" s="45" t="s">
        <v>905</v>
      </c>
      <c r="I524" s="40" t="s">
        <v>897</v>
      </c>
    </row>
    <row r="525" spans="1:9" ht="15.75" x14ac:dyDescent="0.25">
      <c r="A525" s="36">
        <f t="shared" si="8"/>
        <v>97</v>
      </c>
      <c r="B525" s="37">
        <v>46053</v>
      </c>
      <c r="C525" s="37">
        <v>46053</v>
      </c>
      <c r="D525" s="38" t="s">
        <v>831</v>
      </c>
      <c r="E525" s="36" t="s">
        <v>830</v>
      </c>
      <c r="F525" s="39"/>
      <c r="G525" s="39">
        <v>2600</v>
      </c>
      <c r="H525" s="45" t="s">
        <v>905</v>
      </c>
      <c r="I525" s="40" t="s">
        <v>897</v>
      </c>
    </row>
    <row r="526" spans="1:9" ht="15.75" x14ac:dyDescent="0.25">
      <c r="A526" s="41">
        <f t="shared" si="8"/>
        <v>98</v>
      </c>
      <c r="B526" s="42">
        <v>46056</v>
      </c>
      <c r="C526" s="42">
        <v>46056</v>
      </c>
      <c r="D526" s="43" t="s">
        <v>833</v>
      </c>
      <c r="E526" s="41" t="s">
        <v>832</v>
      </c>
      <c r="F526" s="44"/>
      <c r="G526" s="44">
        <v>8897</v>
      </c>
      <c r="H526" s="45" t="s">
        <v>905</v>
      </c>
      <c r="I526" s="40" t="s">
        <v>897</v>
      </c>
    </row>
    <row r="527" spans="1:9" ht="15.75" x14ac:dyDescent="0.25">
      <c r="A527" s="36">
        <f t="shared" si="8"/>
        <v>99</v>
      </c>
      <c r="B527" s="37">
        <v>46056</v>
      </c>
      <c r="C527" s="37">
        <v>46056</v>
      </c>
      <c r="D527" s="38" t="s">
        <v>835</v>
      </c>
      <c r="E527" s="36" t="s">
        <v>834</v>
      </c>
      <c r="F527" s="39"/>
      <c r="G527" s="39">
        <v>5138</v>
      </c>
      <c r="H527" s="45" t="s">
        <v>903</v>
      </c>
      <c r="I527" s="40" t="s">
        <v>897</v>
      </c>
    </row>
    <row r="528" spans="1:9" ht="15.75" x14ac:dyDescent="0.25">
      <c r="A528" s="41">
        <f t="shared" si="8"/>
        <v>100</v>
      </c>
      <c r="B528" s="42">
        <v>46057</v>
      </c>
      <c r="C528" s="42">
        <v>46057</v>
      </c>
      <c r="D528" s="43" t="s">
        <v>837</v>
      </c>
      <c r="E528" s="41" t="s">
        <v>836</v>
      </c>
      <c r="F528" s="44"/>
      <c r="G528" s="44">
        <v>5388</v>
      </c>
      <c r="H528" s="45" t="s">
        <v>903</v>
      </c>
      <c r="I528" s="40" t="s">
        <v>897</v>
      </c>
    </row>
    <row r="529" spans="1:9" ht="15.75" x14ac:dyDescent="0.25">
      <c r="A529" s="36">
        <f t="shared" si="8"/>
        <v>101</v>
      </c>
      <c r="B529" s="37">
        <v>46058</v>
      </c>
      <c r="C529" s="37">
        <v>46058</v>
      </c>
      <c r="D529" s="38" t="s">
        <v>839</v>
      </c>
      <c r="E529" s="36" t="s">
        <v>838</v>
      </c>
      <c r="F529" s="39">
        <v>305</v>
      </c>
      <c r="G529" s="39"/>
      <c r="H529" s="45" t="s">
        <v>907</v>
      </c>
      <c r="I529" s="40" t="s">
        <v>897</v>
      </c>
    </row>
    <row r="530" spans="1:9" ht="15.75" x14ac:dyDescent="0.25">
      <c r="A530" s="41">
        <f t="shared" si="8"/>
        <v>102</v>
      </c>
      <c r="B530" s="42">
        <v>46058</v>
      </c>
      <c r="C530" s="42">
        <v>46058</v>
      </c>
      <c r="D530" s="43" t="s">
        <v>841</v>
      </c>
      <c r="E530" s="41" t="s">
        <v>840</v>
      </c>
      <c r="F530" s="44">
        <v>50000</v>
      </c>
      <c r="G530" s="44"/>
      <c r="H530" s="45" t="s">
        <v>903</v>
      </c>
      <c r="I530" s="40" t="s">
        <v>897</v>
      </c>
    </row>
    <row r="531" spans="1:9" ht="15.75" x14ac:dyDescent="0.25">
      <c r="A531" s="36">
        <f t="shared" si="8"/>
        <v>103</v>
      </c>
      <c r="B531" s="37">
        <v>46059</v>
      </c>
      <c r="C531" s="37">
        <v>46059</v>
      </c>
      <c r="D531" s="38" t="s">
        <v>843</v>
      </c>
      <c r="E531" s="36" t="s">
        <v>842</v>
      </c>
      <c r="F531" s="39"/>
      <c r="G531" s="39">
        <v>4921</v>
      </c>
      <c r="H531" s="45" t="s">
        <v>905</v>
      </c>
      <c r="I531" s="40" t="s">
        <v>897</v>
      </c>
    </row>
    <row r="532" spans="1:9" ht="15.75" x14ac:dyDescent="0.25">
      <c r="A532" s="41">
        <f t="shared" si="8"/>
        <v>104</v>
      </c>
      <c r="B532" s="42">
        <v>46060</v>
      </c>
      <c r="C532" s="42">
        <v>46060</v>
      </c>
      <c r="D532" s="43" t="s">
        <v>845</v>
      </c>
      <c r="E532" s="41" t="s">
        <v>844</v>
      </c>
      <c r="F532" s="44"/>
      <c r="G532" s="44">
        <v>9342</v>
      </c>
      <c r="H532" s="45" t="s">
        <v>905</v>
      </c>
      <c r="I532" s="40" t="s">
        <v>897</v>
      </c>
    </row>
    <row r="533" spans="1:9" ht="15.75" x14ac:dyDescent="0.25">
      <c r="A533" s="36">
        <f t="shared" si="8"/>
        <v>105</v>
      </c>
      <c r="B533" s="37">
        <v>46062</v>
      </c>
      <c r="C533" s="37">
        <v>46062</v>
      </c>
      <c r="D533" s="38" t="s">
        <v>847</v>
      </c>
      <c r="E533" s="36" t="s">
        <v>846</v>
      </c>
      <c r="F533" s="39">
        <v>1000</v>
      </c>
      <c r="G533" s="39"/>
      <c r="H533" s="45" t="s">
        <v>907</v>
      </c>
      <c r="I533" s="40" t="s">
        <v>897</v>
      </c>
    </row>
    <row r="534" spans="1:9" ht="15.75" x14ac:dyDescent="0.25">
      <c r="A534" s="41">
        <f t="shared" si="8"/>
        <v>106</v>
      </c>
      <c r="B534" s="42">
        <v>46063</v>
      </c>
      <c r="C534" s="42">
        <v>46063</v>
      </c>
      <c r="D534" s="43" t="s">
        <v>849</v>
      </c>
      <c r="E534" s="41" t="s">
        <v>848</v>
      </c>
      <c r="F534" s="44"/>
      <c r="G534" s="44">
        <v>4200</v>
      </c>
      <c r="H534" s="45" t="s">
        <v>905</v>
      </c>
      <c r="I534" s="40" t="s">
        <v>897</v>
      </c>
    </row>
    <row r="535" spans="1:9" ht="15.75" x14ac:dyDescent="0.25">
      <c r="A535" s="36">
        <f t="shared" si="8"/>
        <v>107</v>
      </c>
      <c r="B535" s="37">
        <v>46063</v>
      </c>
      <c r="C535" s="37">
        <v>46063</v>
      </c>
      <c r="D535" s="38" t="s">
        <v>851</v>
      </c>
      <c r="E535" s="36" t="s">
        <v>850</v>
      </c>
      <c r="F535" s="39">
        <v>10711</v>
      </c>
      <c r="G535" s="39"/>
      <c r="H535" s="36" t="s">
        <v>915</v>
      </c>
      <c r="I535" s="40" t="s">
        <v>897</v>
      </c>
    </row>
    <row r="536" spans="1:9" ht="15.75" x14ac:dyDescent="0.25">
      <c r="A536" s="41">
        <f t="shared" si="8"/>
        <v>108</v>
      </c>
      <c r="B536" s="42">
        <v>46064</v>
      </c>
      <c r="C536" s="42">
        <v>46064</v>
      </c>
      <c r="D536" s="43" t="s">
        <v>853</v>
      </c>
      <c r="E536" s="41" t="s">
        <v>852</v>
      </c>
      <c r="F536" s="44"/>
      <c r="G536" s="44">
        <v>4671</v>
      </c>
      <c r="H536" s="45" t="s">
        <v>905</v>
      </c>
      <c r="I536" s="40" t="s">
        <v>897</v>
      </c>
    </row>
    <row r="537" spans="1:9" ht="15.75" x14ac:dyDescent="0.25">
      <c r="A537" s="36">
        <f t="shared" si="8"/>
        <v>109</v>
      </c>
      <c r="B537" s="37">
        <v>46066</v>
      </c>
      <c r="C537" s="37">
        <v>46066</v>
      </c>
      <c r="D537" s="38" t="s">
        <v>855</v>
      </c>
      <c r="E537" s="36" t="s">
        <v>854</v>
      </c>
      <c r="F537" s="39"/>
      <c r="G537" s="39">
        <v>5900</v>
      </c>
      <c r="H537" s="45" t="s">
        <v>905</v>
      </c>
      <c r="I537" s="40" t="s">
        <v>897</v>
      </c>
    </row>
    <row r="538" spans="1:9" ht="15.75" x14ac:dyDescent="0.25">
      <c r="A538" s="41">
        <f t="shared" si="8"/>
        <v>110</v>
      </c>
      <c r="B538" s="42">
        <v>46066</v>
      </c>
      <c r="C538" s="42">
        <v>46066</v>
      </c>
      <c r="D538" s="43">
        <v>513260148</v>
      </c>
      <c r="E538" s="41" t="s">
        <v>856</v>
      </c>
      <c r="F538" s="44">
        <v>1770</v>
      </c>
      <c r="G538" s="44"/>
      <c r="H538" s="46" t="s">
        <v>904</v>
      </c>
      <c r="I538" s="40" t="s">
        <v>897</v>
      </c>
    </row>
    <row r="539" spans="1:9" ht="15.75" x14ac:dyDescent="0.25">
      <c r="A539" s="36">
        <f t="shared" si="8"/>
        <v>111</v>
      </c>
      <c r="B539" s="37">
        <v>46066</v>
      </c>
      <c r="C539" s="37">
        <v>46066</v>
      </c>
      <c r="D539" s="38" t="s">
        <v>858</v>
      </c>
      <c r="E539" s="36" t="s">
        <v>857</v>
      </c>
      <c r="F539" s="39">
        <v>10</v>
      </c>
      <c r="G539" s="39"/>
      <c r="H539" s="45" t="s">
        <v>907</v>
      </c>
      <c r="I539" s="40" t="s">
        <v>897</v>
      </c>
    </row>
    <row r="540" spans="1:9" ht="15.75" x14ac:dyDescent="0.25">
      <c r="A540" s="41">
        <f t="shared" si="8"/>
        <v>112</v>
      </c>
      <c r="B540" s="42">
        <v>46067</v>
      </c>
      <c r="C540" s="42">
        <v>46067</v>
      </c>
      <c r="D540" s="43" t="s">
        <v>860</v>
      </c>
      <c r="E540" s="41" t="s">
        <v>859</v>
      </c>
      <c r="F540" s="44"/>
      <c r="G540" s="44">
        <v>4671</v>
      </c>
      <c r="H540" s="45" t="s">
        <v>905</v>
      </c>
      <c r="I540" s="40" t="s">
        <v>897</v>
      </c>
    </row>
    <row r="541" spans="1:9" ht="15.75" x14ac:dyDescent="0.25">
      <c r="A541" s="36">
        <f t="shared" si="8"/>
        <v>113</v>
      </c>
      <c r="B541" s="37">
        <v>46069</v>
      </c>
      <c r="C541" s="37">
        <v>46069</v>
      </c>
      <c r="D541" s="38" t="s">
        <v>862</v>
      </c>
      <c r="E541" s="36" t="s">
        <v>861</v>
      </c>
      <c r="F541" s="39">
        <v>6539</v>
      </c>
      <c r="G541" s="39"/>
      <c r="H541" s="45" t="s">
        <v>907</v>
      </c>
      <c r="I541" s="40" t="s">
        <v>897</v>
      </c>
    </row>
    <row r="542" spans="1:9" ht="15.75" x14ac:dyDescent="0.25">
      <c r="A542" s="41">
        <f t="shared" si="8"/>
        <v>114</v>
      </c>
      <c r="B542" s="42">
        <v>46070</v>
      </c>
      <c r="C542" s="42">
        <v>46070</v>
      </c>
      <c r="D542" s="43">
        <v>513818163</v>
      </c>
      <c r="E542" s="41" t="s">
        <v>64</v>
      </c>
      <c r="F542" s="44">
        <v>2000</v>
      </c>
      <c r="G542" s="44"/>
      <c r="H542" s="41" t="s">
        <v>909</v>
      </c>
      <c r="I542" s="40" t="s">
        <v>897</v>
      </c>
    </row>
    <row r="543" spans="1:9" ht="15.75" x14ac:dyDescent="0.25">
      <c r="A543" s="36">
        <f t="shared" si="8"/>
        <v>115</v>
      </c>
      <c r="B543" s="37">
        <v>46070</v>
      </c>
      <c r="C543" s="37">
        <v>46070</v>
      </c>
      <c r="D543" s="38" t="s">
        <v>864</v>
      </c>
      <c r="E543" s="36" t="s">
        <v>863</v>
      </c>
      <c r="F543" s="39"/>
      <c r="G543" s="39">
        <v>10000</v>
      </c>
      <c r="H543" s="36" t="s">
        <v>925</v>
      </c>
      <c r="I543" s="40" t="s">
        <v>897</v>
      </c>
    </row>
    <row r="544" spans="1:9" ht="15.75" x14ac:dyDescent="0.25">
      <c r="A544" s="41">
        <f t="shared" si="8"/>
        <v>116</v>
      </c>
      <c r="B544" s="42">
        <v>46070</v>
      </c>
      <c r="C544" s="42">
        <v>46070</v>
      </c>
      <c r="D544" s="43" t="s">
        <v>866</v>
      </c>
      <c r="E544" s="41" t="s">
        <v>865</v>
      </c>
      <c r="F544" s="44"/>
      <c r="G544" s="44">
        <v>4200</v>
      </c>
      <c r="H544" s="45" t="s">
        <v>905</v>
      </c>
      <c r="I544" s="40" t="s">
        <v>897</v>
      </c>
    </row>
    <row r="545" spans="1:9" ht="15.75" x14ac:dyDescent="0.25">
      <c r="A545" s="36">
        <f t="shared" si="8"/>
        <v>117</v>
      </c>
      <c r="B545" s="37">
        <v>46071</v>
      </c>
      <c r="C545" s="37">
        <v>46071</v>
      </c>
      <c r="D545" s="38">
        <v>514049229</v>
      </c>
      <c r="E545" s="36" t="s">
        <v>64</v>
      </c>
      <c r="F545" s="39">
        <v>10000</v>
      </c>
      <c r="G545" s="39"/>
      <c r="H545" s="36" t="s">
        <v>909</v>
      </c>
      <c r="I545" s="40" t="s">
        <v>897</v>
      </c>
    </row>
    <row r="546" spans="1:9" ht="15.75" x14ac:dyDescent="0.25">
      <c r="A546" s="41">
        <f t="shared" si="8"/>
        <v>118</v>
      </c>
      <c r="B546" s="42">
        <v>46071</v>
      </c>
      <c r="C546" s="42">
        <v>46071</v>
      </c>
      <c r="D546" s="43" t="s">
        <v>868</v>
      </c>
      <c r="E546" s="41" t="s">
        <v>867</v>
      </c>
      <c r="F546" s="44"/>
      <c r="G546" s="44">
        <v>5200</v>
      </c>
      <c r="H546" s="45" t="s">
        <v>905</v>
      </c>
      <c r="I546" s="40" t="s">
        <v>897</v>
      </c>
    </row>
    <row r="547" spans="1:9" ht="15.75" x14ac:dyDescent="0.25">
      <c r="A547" s="36">
        <f t="shared" si="8"/>
        <v>119</v>
      </c>
      <c r="B547" s="37">
        <v>46072</v>
      </c>
      <c r="C547" s="37">
        <v>46072</v>
      </c>
      <c r="D547" s="38">
        <v>514324941</v>
      </c>
      <c r="E547" s="36" t="s">
        <v>784</v>
      </c>
      <c r="F547" s="39">
        <v>88000</v>
      </c>
      <c r="G547" s="39"/>
      <c r="H547" s="45" t="s">
        <v>903</v>
      </c>
      <c r="I547" s="40" t="s">
        <v>897</v>
      </c>
    </row>
    <row r="548" spans="1:9" ht="15.75" x14ac:dyDescent="0.25">
      <c r="A548" s="41">
        <f t="shared" si="8"/>
        <v>120</v>
      </c>
      <c r="B548" s="42">
        <v>46076</v>
      </c>
      <c r="C548" s="42">
        <v>46076</v>
      </c>
      <c r="D548" s="43" t="s">
        <v>870</v>
      </c>
      <c r="E548" s="41" t="s">
        <v>869</v>
      </c>
      <c r="F548" s="44"/>
      <c r="G548" s="44">
        <v>5249</v>
      </c>
      <c r="H548" s="45" t="s">
        <v>905</v>
      </c>
      <c r="I548" s="40" t="s">
        <v>897</v>
      </c>
    </row>
    <row r="549" spans="1:9" ht="15.75" x14ac:dyDescent="0.25">
      <c r="A549" s="36">
        <f t="shared" si="8"/>
        <v>121</v>
      </c>
      <c r="B549" s="37">
        <v>46076</v>
      </c>
      <c r="C549" s="37">
        <v>46076</v>
      </c>
      <c r="D549" s="38" t="s">
        <v>872</v>
      </c>
      <c r="E549" s="36" t="s">
        <v>871</v>
      </c>
      <c r="F549" s="39">
        <v>4182</v>
      </c>
      <c r="G549" s="39"/>
      <c r="H549" s="36" t="s">
        <v>915</v>
      </c>
      <c r="I549" s="40" t="s">
        <v>897</v>
      </c>
    </row>
    <row r="550" spans="1:9" ht="15.75" x14ac:dyDescent="0.25">
      <c r="A550" s="41">
        <f t="shared" si="8"/>
        <v>122</v>
      </c>
      <c r="B550" s="42">
        <v>46078</v>
      </c>
      <c r="C550" s="42">
        <v>46078</v>
      </c>
      <c r="D550" s="43" t="s">
        <v>874</v>
      </c>
      <c r="E550" s="41" t="s">
        <v>873</v>
      </c>
      <c r="F550" s="44"/>
      <c r="G550" s="44">
        <v>5138</v>
      </c>
      <c r="H550" s="45" t="s">
        <v>905</v>
      </c>
      <c r="I550" s="40" t="s">
        <v>897</v>
      </c>
    </row>
    <row r="551" spans="1:9" ht="15.75" x14ac:dyDescent="0.25">
      <c r="A551" s="36">
        <f t="shared" si="8"/>
        <v>123</v>
      </c>
      <c r="B551" s="37">
        <v>46078</v>
      </c>
      <c r="C551" s="37">
        <v>46078</v>
      </c>
      <c r="D551" s="38" t="s">
        <v>876</v>
      </c>
      <c r="E551" s="36" t="s">
        <v>875</v>
      </c>
      <c r="F551" s="39">
        <v>738</v>
      </c>
      <c r="G551" s="39"/>
      <c r="H551" s="46" t="s">
        <v>904</v>
      </c>
      <c r="I551" s="40" t="s">
        <v>897</v>
      </c>
    </row>
    <row r="552" spans="1:9" ht="15.75" x14ac:dyDescent="0.25">
      <c r="A552" s="41">
        <f t="shared" si="8"/>
        <v>124</v>
      </c>
      <c r="B552" s="42">
        <v>46079</v>
      </c>
      <c r="C552" s="42">
        <v>46079</v>
      </c>
      <c r="D552" s="43" t="s">
        <v>878</v>
      </c>
      <c r="E552" s="41" t="s">
        <v>877</v>
      </c>
      <c r="F552" s="44">
        <v>6000</v>
      </c>
      <c r="G552" s="44"/>
      <c r="H552" s="45" t="s">
        <v>907</v>
      </c>
      <c r="I552" s="40" t="s">
        <v>897</v>
      </c>
    </row>
    <row r="553" spans="1:9" ht="15.75" x14ac:dyDescent="0.25">
      <c r="A553" s="36">
        <f t="shared" si="8"/>
        <v>125</v>
      </c>
      <c r="B553" s="37">
        <v>46087</v>
      </c>
      <c r="C553" s="37">
        <v>46087</v>
      </c>
      <c r="D553" s="38" t="s">
        <v>880</v>
      </c>
      <c r="E553" s="36" t="s">
        <v>879</v>
      </c>
      <c r="F553" s="39">
        <v>70</v>
      </c>
      <c r="G553" s="39"/>
      <c r="H553" s="46" t="s">
        <v>904</v>
      </c>
      <c r="I553" s="40" t="s">
        <v>897</v>
      </c>
    </row>
    <row r="554" spans="1:9" ht="15.75" x14ac:dyDescent="0.25">
      <c r="A554" s="41">
        <f t="shared" si="8"/>
        <v>126</v>
      </c>
      <c r="B554" s="42">
        <v>46091</v>
      </c>
      <c r="C554" s="42">
        <v>46091</v>
      </c>
      <c r="D554" s="43" t="s">
        <v>882</v>
      </c>
      <c r="E554" s="41" t="s">
        <v>881</v>
      </c>
      <c r="F554" s="44"/>
      <c r="G554" s="44">
        <v>14013</v>
      </c>
      <c r="H554" s="41" t="s">
        <v>906</v>
      </c>
      <c r="I554" s="40" t="s">
        <v>897</v>
      </c>
    </row>
    <row r="555" spans="1:9" ht="15.75" x14ac:dyDescent="0.25">
      <c r="A555" s="36">
        <f t="shared" si="8"/>
        <v>127</v>
      </c>
      <c r="B555" s="37">
        <v>46092</v>
      </c>
      <c r="C555" s="37">
        <v>46092</v>
      </c>
      <c r="D555" s="38" t="s">
        <v>884</v>
      </c>
      <c r="E555" s="36" t="s">
        <v>883</v>
      </c>
      <c r="F555" s="39"/>
      <c r="G555" s="39">
        <v>9342</v>
      </c>
      <c r="H555" s="45" t="s">
        <v>905</v>
      </c>
      <c r="I555" s="40" t="s">
        <v>897</v>
      </c>
    </row>
    <row r="556" spans="1:9" ht="15.75" x14ac:dyDescent="0.25">
      <c r="A556" s="41">
        <f t="shared" si="8"/>
        <v>128</v>
      </c>
      <c r="B556" s="42">
        <v>46094</v>
      </c>
      <c r="C556" s="42">
        <v>46094</v>
      </c>
      <c r="D556" s="43" t="s">
        <v>886</v>
      </c>
      <c r="E556" s="41" t="s">
        <v>885</v>
      </c>
      <c r="F556" s="44">
        <v>87</v>
      </c>
      <c r="G556" s="44"/>
      <c r="H556" s="46" t="s">
        <v>904</v>
      </c>
      <c r="I556" s="40" t="s">
        <v>897</v>
      </c>
    </row>
    <row r="557" spans="1:9" ht="15.75" x14ac:dyDescent="0.25">
      <c r="A557" s="36">
        <f t="shared" si="8"/>
        <v>129</v>
      </c>
      <c r="B557" s="37">
        <v>46097</v>
      </c>
      <c r="C557" s="37">
        <v>46097</v>
      </c>
      <c r="D557" s="38" t="s">
        <v>888</v>
      </c>
      <c r="E557" s="36" t="s">
        <v>887</v>
      </c>
      <c r="F557" s="39"/>
      <c r="G557" s="39">
        <v>8897</v>
      </c>
      <c r="H557" s="45" t="s">
        <v>905</v>
      </c>
      <c r="I557" s="40" t="s">
        <v>897</v>
      </c>
    </row>
    <row r="558" spans="1:9" ht="15.75" x14ac:dyDescent="0.25">
      <c r="A558" s="41">
        <f t="shared" ref="A558:A561" si="9">1+A557</f>
        <v>130</v>
      </c>
      <c r="B558" s="42">
        <v>46099</v>
      </c>
      <c r="C558" s="42">
        <v>46099</v>
      </c>
      <c r="D558" s="43" t="s">
        <v>890</v>
      </c>
      <c r="E558" s="41" t="s">
        <v>889</v>
      </c>
      <c r="F558" s="44">
        <v>547</v>
      </c>
      <c r="G558" s="44"/>
      <c r="H558" s="45" t="s">
        <v>907</v>
      </c>
      <c r="I558" s="40" t="s">
        <v>897</v>
      </c>
    </row>
    <row r="559" spans="1:9" ht="15.75" x14ac:dyDescent="0.25">
      <c r="A559" s="36">
        <f t="shared" si="9"/>
        <v>131</v>
      </c>
      <c r="B559" s="37">
        <v>46107</v>
      </c>
      <c r="C559" s="37">
        <v>46107</v>
      </c>
      <c r="D559" s="38" t="s">
        <v>892</v>
      </c>
      <c r="E559" s="36" t="s">
        <v>891</v>
      </c>
      <c r="F559" s="39">
        <v>772</v>
      </c>
      <c r="G559" s="39"/>
      <c r="H559" s="36" t="s">
        <v>907</v>
      </c>
      <c r="I559" s="40" t="s">
        <v>897</v>
      </c>
    </row>
    <row r="560" spans="1:9" ht="15.75" x14ac:dyDescent="0.25">
      <c r="A560" s="41">
        <f t="shared" si="9"/>
        <v>132</v>
      </c>
      <c r="B560" s="42">
        <v>46109</v>
      </c>
      <c r="C560" s="42">
        <v>46109</v>
      </c>
      <c r="D560" s="43" t="s">
        <v>894</v>
      </c>
      <c r="E560" s="41" t="s">
        <v>893</v>
      </c>
      <c r="F560" s="44">
        <v>4000</v>
      </c>
      <c r="G560" s="44"/>
      <c r="H560" s="46" t="s">
        <v>904</v>
      </c>
      <c r="I560" s="40" t="s">
        <v>897</v>
      </c>
    </row>
    <row r="561" spans="1:9" ht="15.75" x14ac:dyDescent="0.25">
      <c r="A561" s="36">
        <f t="shared" si="9"/>
        <v>133</v>
      </c>
      <c r="B561" s="37">
        <v>46112</v>
      </c>
      <c r="C561" s="37">
        <v>46112</v>
      </c>
      <c r="D561" s="38" t="s">
        <v>6</v>
      </c>
      <c r="E561" s="36" t="s">
        <v>895</v>
      </c>
      <c r="F561" s="39">
        <v>5.9</v>
      </c>
      <c r="G561" s="39"/>
      <c r="H561" s="36" t="s">
        <v>916</v>
      </c>
      <c r="I561" s="28" t="s">
        <v>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 Jaykishan Jagad</cp:lastModifiedBy>
  <dcterms:created xsi:type="dcterms:W3CDTF">2015-06-05T18:17:20Z</dcterms:created>
  <dcterms:modified xsi:type="dcterms:W3CDTF">2026-05-07T14:04:19Z</dcterms:modified>
</cp:coreProperties>
</file>