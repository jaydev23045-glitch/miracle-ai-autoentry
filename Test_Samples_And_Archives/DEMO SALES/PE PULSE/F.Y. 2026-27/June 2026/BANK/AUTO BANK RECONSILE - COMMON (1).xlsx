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E PULSE/F.Y. 2026-27/June 2026/BANK/"/>
    </mc:Choice>
  </mc:AlternateContent>
  <xr:revisionPtr revIDLastSave="27" documentId="14_{E94158BF-AA7A-409D-91CD-F01958C1CF3A}" xr6:coauthVersionLast="47" xr6:coauthVersionMax="47" xr10:uidLastSave="{06B5A7EA-BCCD-4E25-BE56-729049EF8BD4}"/>
  <bookViews>
    <workbookView xWindow="-120" yWindow="-120" windowWidth="29040" windowHeight="15720" activeTab="1" xr2:uid="{0C256DF3-FA58-4F89-9EE4-831C072FF6B8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8" i="3" l="1"/>
  <c r="N29" i="3"/>
  <c r="N30" i="3"/>
  <c r="N31" i="3"/>
  <c r="N32" i="3"/>
  <c r="N33" i="3"/>
  <c r="N34" i="3"/>
  <c r="N35" i="3"/>
  <c r="N36" i="3"/>
  <c r="N37" i="3"/>
  <c r="N38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" i="3"/>
  <c r="K33" i="3"/>
  <c r="K34" i="3"/>
  <c r="K35" i="3"/>
  <c r="K36" i="3"/>
  <c r="K37" i="3"/>
  <c r="K3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L4" i="1"/>
  <c r="L5" i="1"/>
  <c r="L6" i="1"/>
  <c r="L7" i="1"/>
  <c r="L37" i="1"/>
  <c r="L38" i="1"/>
  <c r="L39" i="1"/>
  <c r="L40" i="1"/>
  <c r="L41" i="1"/>
  <c r="L42" i="1"/>
  <c r="L43" i="1"/>
  <c r="L28" i="1"/>
  <c r="L29" i="1"/>
  <c r="L30" i="1"/>
  <c r="L31" i="1"/>
  <c r="L32" i="1"/>
  <c r="L33" i="1"/>
  <c r="L34" i="1"/>
  <c r="L35" i="1"/>
  <c r="L36" i="1"/>
  <c r="P27" i="1"/>
  <c r="P26" i="1"/>
  <c r="P25" i="1"/>
  <c r="P24" i="1"/>
  <c r="P23" i="1"/>
  <c r="P22" i="1"/>
  <c r="P21" i="1"/>
  <c r="L23" i="1"/>
  <c r="L22" i="1"/>
  <c r="L17" i="1"/>
  <c r="L16" i="1"/>
  <c r="L11" i="1"/>
  <c r="L10" i="1"/>
  <c r="L8" i="1"/>
  <c r="L9" i="1"/>
  <c r="L12" i="1"/>
  <c r="L13" i="1"/>
  <c r="L14" i="1"/>
  <c r="L15" i="1"/>
  <c r="L18" i="1"/>
  <c r="L19" i="1"/>
  <c r="L20" i="1"/>
  <c r="L21" i="1"/>
  <c r="L24" i="1"/>
  <c r="L25" i="1"/>
  <c r="L26" i="1"/>
  <c r="L27" i="1"/>
</calcChain>
</file>

<file path=xl/sharedStrings.xml><?xml version="1.0" encoding="utf-8"?>
<sst xmlns="http://schemas.openxmlformats.org/spreadsheetml/2006/main" count="575" uniqueCount="201">
  <si>
    <t>SR NO</t>
  </si>
  <si>
    <t>Tran Date</t>
  </si>
  <si>
    <t>Rec. Date</t>
  </si>
  <si>
    <t>CHQNO</t>
  </si>
  <si>
    <t>PARTICULARS</t>
  </si>
  <si>
    <t>WITHDRAWL</t>
  </si>
  <si>
    <t>DEPOSIT</t>
  </si>
  <si>
    <t>A/c Name</t>
  </si>
  <si>
    <t>Bank Name</t>
  </si>
  <si>
    <t>A/c Name (Miracle Ledger Name)</t>
  </si>
  <si>
    <t>ICICI BANK LIMITED</t>
  </si>
  <si>
    <t>JYJ &amp; CO</t>
  </si>
  <si>
    <t/>
  </si>
  <si>
    <t>E column</t>
  </si>
  <si>
    <t>date column</t>
  </si>
  <si>
    <t>01/06/2026</t>
  </si>
  <si>
    <t>02/06/2026</t>
  </si>
  <si>
    <t>03/06/2026</t>
  </si>
  <si>
    <t>04/06/2026</t>
  </si>
  <si>
    <t>05/06/2026</t>
  </si>
  <si>
    <t>06/06/2026</t>
  </si>
  <si>
    <t>08/06/2026</t>
  </si>
  <si>
    <t>09/06/2026</t>
  </si>
  <si>
    <t>10/06/2026</t>
  </si>
  <si>
    <t>12/06/2026</t>
  </si>
  <si>
    <t>13/06/2026</t>
  </si>
  <si>
    <t>15/06/2026</t>
  </si>
  <si>
    <t>16/06/2026</t>
  </si>
  <si>
    <t>17/06/2026</t>
  </si>
  <si>
    <t>18/06/2026</t>
  </si>
  <si>
    <t>19/06/2026</t>
  </si>
  <si>
    <t>20/06/2026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</si>
  <si>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</si>
  <si>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</si>
  <si>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</si>
  <si>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</si>
  <si>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</si>
  <si>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</si>
  <si>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</si>
  <si>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</si>
  <si>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</si>
  <si>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HDFCH01051680842</t>
  </si>
  <si>
    <t>HDFCH01055912591</t>
  </si>
  <si>
    <t>HDFCH01055902333</t>
  </si>
  <si>
    <t>HDFCH01061068903</t>
  </si>
  <si>
    <t>HDFCH01061083549</t>
  </si>
  <si>
    <t>HDFCH01070623807</t>
  </si>
  <si>
    <t>HDFCH01072742996</t>
  </si>
  <si>
    <t>HDFCH01072742455</t>
  </si>
  <si>
    <t>HDFCH01072744224</t>
  </si>
  <si>
    <t>HDFCH01072742515</t>
  </si>
  <si>
    <t>HDFCH01072752110</t>
  </si>
  <si>
    <t>HDFCH01079435599</t>
  </si>
  <si>
    <t>KKBKH26180805700</t>
  </si>
  <si>
    <t>UPI-915010058869853-PREKSHA.2919-0@WAAXI
S-615290628631-UPI</t>
  </si>
  <si>
    <t>UPI-142501000010699-7498682661@PTYES-607
182084881-SENT USING PAYTM UPI</t>
  </si>
  <si>
    <t>UPI-119401507327-PATILNITESH49@ICICI-109
923926970-UPI PAYMENT</t>
  </si>
  <si>
    <t>UPI-088401511267-VENNAGIYER@IBL-14898686
4634-PAYMENT FROM PHONEPE</t>
  </si>
  <si>
    <t>UPI-000810100019580-NARESHRANKA1974@OKHD
FCBANK-124036069501-UPI</t>
  </si>
  <si>
    <t>50200110127794-TPT-HDFC298A2340DF90-GIBZ
SOLUTIONS PRIVATE LIMITED</t>
  </si>
  <si>
    <t>UPI-124401504609-HEENARAJENDRAS-1@OKICIC
I-651846380003-UPI</t>
  </si>
  <si>
    <t>UPI-317902070057221-PRACHI.3273@WAAXIS-6
15319997781-UPI</t>
  </si>
  <si>
    <t>UPI-317902070057221-PRACHI.3273@WAAXIS-6
15319050216-UPI</t>
  </si>
  <si>
    <t>UPI-058601516006-PATTANAYAKSONALI.SP@OKI
CICI-615303347709-UPI</t>
  </si>
  <si>
    <t>UPI-058601516006-PATTANAYAKSONALI.SP@OKI
CICI-615392237206-UPI</t>
  </si>
  <si>
    <t>UPI-001110100187053-WILFREDMCOUTINHO@OKI
CICI-615344648756-UPI</t>
  </si>
  <si>
    <t>01631000019173-TPT-DIFFERENCE 2 MONTH-HA
SMUKH SHANTILAL SHAH</t>
  </si>
  <si>
    <t>01631000019173-TPT-OFFICE RENT-HASMUKH S
HANTILAL SHAH</t>
  </si>
  <si>
    <t>01631000019173-TPT-PARKING-HASMUKH SHANT
ILAL SHAH</t>
  </si>
  <si>
    <t>UPI-00000030270005450-9004059594@AXL-103
596546608-PAYMENT FROM PHONEPE</t>
  </si>
  <si>
    <t>UPI-65292600001010410000268463-ANISHG7-1615420973320-ANISH NAIR ADVANCE PAYMENT</t>
  </si>
  <si>
    <t>UPI-003011300003598-9820090644@PTYES-607
307954008-SARTY SHOES</t>
  </si>
  <si>
    <t>UPI-022110100001226-MILAN.NAVNITMOTORS@O
KHDFCBANK-124165420209-UPI</t>
  </si>
  <si>
    <t>UPI-05211132000317-SZARINA3682@YBL-23724
2127605-PAYMENT FROM PHONEPE</t>
  </si>
  <si>
    <t>UPI-05211132000317-SZARINA3682@YBL-04971
4832179-PAYMENT FROM PHONEPE</t>
  </si>
  <si>
    <t>82082204 RUPAY MDR RCVRY-04/06/26</t>
  </si>
  <si>
    <t>UPI-3012848035-SHEKHARGAURI-1@OKICICI-61
5509003342-FOR SHOES</t>
  </si>
  <si>
    <t>UPI-00000038178773602-VARSHAC1964@OKSBI-
615515127143-UPI</t>
  </si>
  <si>
    <t>UPI-110001750723-917709967570@WAHDFCBANK
-124217945148-PAY BY WHATSAPP</t>
  </si>
  <si>
    <t>UPI-110001750723-DHUMALATHARV93@OKICICI-
615583507376-UPI</t>
  </si>
  <si>
    <t>50200116476990-TPT-MAY-S S R FOOTCARE</t>
  </si>
  <si>
    <t>UPI-00000031713320250-9820245851@UPI-112
333794521-NO REMARKS</t>
  </si>
  <si>
    <t>UPI-6446268219-POONAM.MESTRY189@OKHDFCBA
NK-124300727899-UPI</t>
  </si>
  <si>
    <t>UPI-4311416178-PRASHANTP2B@KOTAK-6157171
96908-PAIDVIAKOTAKAPP</t>
  </si>
  <si>
    <t>UPI-484119167314015-SAROJOHN21-2@OKAXIS-
615934446708-UPI</t>
  </si>
  <si>
    <t>UPI-0131064430300-CHINOYKAUSHIK765@OKAXI
S-615984555416-UPI</t>
  </si>
  <si>
    <t>UPI-7183000100043944-KALPESHSONAWANE.312
90@OKSBI-615971915539-UPI</t>
  </si>
  <si>
    <t>UPI-2845186758-HETALBHIMANI26215@OKICICI
-615961078130-MEDICINE</t>
  </si>
  <si>
    <t>UPI-04160100030602-PAL.RAMMURAT2@YBL-904
973881780-PAYMENT FROM PHONEPE</t>
  </si>
  <si>
    <t>UPI-HEALTH RIPPLES-HEALTHRIPPLES@KOTAK-K
KBK0000655-616059384148-UPI SEND MONEY</t>
  </si>
  <si>
    <t>UPI-HEALTH RIPPLES-HEALTHRIPPLES@KOTAK-K
KBK0000655-616059414477-UPI SEND MONEY</t>
  </si>
  <si>
    <t>NEFT DR-KKBK0002800-JYJ N CO-NETBANK, MU
M-HDFCH01051680842-HDFC916EAFF666A3</t>
  </si>
  <si>
    <t>UPI-623302010013190-ASHA09091974@OKICICI
-652687477655-FOOTWEAR</t>
  </si>
  <si>
    <t>UPI-003201026428-SURESHPANDAY003@OKICICI
-652662363461-UPI</t>
  </si>
  <si>
    <t>SOUND BOX RENTAL JUN26 HXW855</t>
  </si>
  <si>
    <t>UPI-06690100014950-SUNEELSRINIVASAN@OKSB
I-616195638487-UPI</t>
  </si>
  <si>
    <t>UPI-06690100014950-SUNEELSRINIVASAN@OKSB
I-616195716650-SHOES</t>
  </si>
  <si>
    <t>UPI-520101020938450-VIJAY.JUMB-1@OKHDFCB
ANK-124516240316-UPI</t>
  </si>
  <si>
    <t>UPI-125310110007765-DESAI.R.GEETA@OKAXIS
-616146663713-UPI</t>
  </si>
  <si>
    <t>UPI-9012228068-HEALTHRIPPLES@KOTAK-61612
1097863-NA</t>
  </si>
  <si>
    <t>UPI-003501567973-SONAMSHAIKH1984@OKICICI
-616120575312-UPI</t>
  </si>
  <si>
    <t>NEFT DR-SVCB0000046-CHANDRAKANT D PARTE-
NETBANK, MUM-HDFCH01055912591-SALARY</t>
  </si>
  <si>
    <t>NEFT DR-BARB0DBWADA-ANAND KUMAR ANIL SHA
RMA-NETBANK, MUM-HDFCH01055902333-SALARY</t>
  </si>
  <si>
    <t>UPI-BONY YALLAPPA KUNCHI-BONYSHIRAM-1@OK
HDFCBANK-TMBL0000233-616173278023-SALARY</t>
  </si>
  <si>
    <t>CASH DEPOSIT BY - SELF - NEHRU NAGAR KUR
LA EAST</t>
  </si>
  <si>
    <t>UPI-00000055001410587-9757104264@PTYES-3
07874522738-SENT USING PAYTM UPI</t>
  </si>
  <si>
    <t>UPI-003501567973-SONAMSHAIKH1984@OKICICI
-616370603109-PUNE</t>
  </si>
  <si>
    <t>UPI-50100259719922-DMALGAONKAR@OKHDFCBAN
K-124622901322-UPI</t>
  </si>
  <si>
    <t>UPI-00000041367884260-JENNY21DSOUZA@OKSB
I-616435683067-UPI</t>
  </si>
  <si>
    <t>50200116476990-TPT-MAY 2-S S R FOOTCARE</t>
  </si>
  <si>
    <t>UPI-919010042914387-PILLAIAPARNA05-1@OKA
XIS-653004440995-UPI</t>
  </si>
  <si>
    <t>UPI-915010058869853-JAINPREKSHA02@OKAXIS
-653015477798-UPI</t>
  </si>
  <si>
    <t>UPI-50100021425290-918097657759@WAHDFCBA
NK-124765378792-PAY BY WHATSAPP</t>
  </si>
  <si>
    <t>UPI-653027000000081842197409286400-ASCHI
KANI-2@OKICICI-616617429279-UPI</t>
  </si>
  <si>
    <t>UPI-652957000044701457-VISHALDEVRUKHKAR1
8-1@OKAXIS-653215371670-UPI</t>
  </si>
  <si>
    <t>RVSL EDC RENTAL MAY26-HXW855</t>
  </si>
  <si>
    <t>UPI-PRACHI H LANJEKAR-PRACHILANJEKAR1960
@OKICICI-UBIN0537896-653343000279-UPI</t>
  </si>
  <si>
    <t>82082204 RUPAY MDR RCVRY-16/06/26</t>
  </si>
  <si>
    <t>UPI-00000030270005450-9004059594@AXL-759
563907548-PAYMENT FROM PHONEPE</t>
  </si>
  <si>
    <t>UPI-00000003343073331-JYOTIJOGDANKAR7@OK
AXIS-653450275241-UPI</t>
  </si>
  <si>
    <t>UPI-018010100381529-9820751606@YBL-09750
1026148-PAYMENT FROM PHONEPE</t>
  </si>
  <si>
    <t>UPI-2329000101142830-RGONDHALI0-1@OKAXIS
-653476074946-UPI</t>
  </si>
  <si>
    <t>UPI-12470100051409-RAJESHCHOUGULE811@YBL
-923532119601-PAYMENT FROM PHONEPE</t>
  </si>
  <si>
    <t>UPI-12470100051409-RAJESHCHOUGULE811@YBL
-627512466971-PAYMENT FROM PHONEPE</t>
  </si>
  <si>
    <t>UPI-000201007222-SANGRAM66866-1@OKICICI-
616989651484-CGMS</t>
  </si>
  <si>
    <t>UPI-60241043703-8087906237@YBL-283855041
757-PAYMENT FROM PHONEPE</t>
  </si>
  <si>
    <t>UPI-99040100016221-HARESHMANGLANI-1@OKHD
FCBANK-124937521984-UPI</t>
  </si>
  <si>
    <t>NEFT DR-CCBL0209022-ELITE DIAGNOSTICS-NE
TBANK, MUM-HDFCH01070623807-125</t>
  </si>
  <si>
    <t>UPI-00000020150886290-ANANTDEVRUKHKAR006
-1@OKSBI-617008764910-UPI</t>
  </si>
  <si>
    <t>CASH DEPOSIT-XXXXXXXXXX5791-NEHRU NAGAR 
KURLA EAST</t>
  </si>
  <si>
    <t>UPI-05211132000317-SZARINA3682@YBL-37705
7426202-PAYMENT FROM PHONEPE</t>
  </si>
  <si>
    <t>NEFT DR-BARB0DBWADA-ANAND KUMAR ANIL SHA
RMA-NETBANK, MUM-HDFCH01072742996-DA</t>
  </si>
  <si>
    <t>NEFT DR-IDIB000D049-BONY YALLAPPA KUNCHI
KORVE-NETBANK, MUM-HDFCH01072742455-DA</t>
  </si>
  <si>
    <t>NEFT DR-SVCB0000046-CHANDRAKANT D PARTE-
NETBANK, MUM-HDFCH01072744224-DA</t>
  </si>
  <si>
    <t>NEFT DR-SVCB0000046-CHANDRAKANT D PARTE-
NETBANK, MUM-HDFCH01072742515-OFFICE</t>
  </si>
  <si>
    <t>NEFT DR-KKBK0002800-JYJ N CO-NETBANK, MU
M-HDFCH01072752110-GST PE PULSE</t>
  </si>
  <si>
    <t>50200110127794-TPT-HDFCFD317B160A06-GIBZ
SOLUTIONS PRIVATE LIMITED</t>
  </si>
  <si>
    <t>UPI-002927110000108-SWATIBTILAK@OKICICI-
617194344801-UPI</t>
  </si>
  <si>
    <t>50200116476990-TPT-FINAL MAY-S S R FOOTC
ARE</t>
  </si>
  <si>
    <t>CHQ DEP - CTS CLG2 - MUMBAI CLEARING: LALBAUG FARSAN MART :GODAVARI LAXMI COOP BANK</t>
  </si>
  <si>
    <t>CHQ DEP RET- FUNDS INSUFFICIENT</t>
  </si>
  <si>
    <t>UPI-098501507287-7304149764@IBL-76237808
7432-PAYMENT FROM PHONEPE</t>
  </si>
  <si>
    <t>UPI-058601516006-PATTANAYAKSONALI.SP@OKI
CICI-653963274119-UPI</t>
  </si>
  <si>
    <t>UPI-058601516006-PATTANAYAKSONALI.SP@OKI
CICI-653949873111-UPI</t>
  </si>
  <si>
    <t>UPI-5080101002316-VANIAVARUN99@OKAXIS-61
7471296461-KRISHNA PANIGRAHI</t>
  </si>
  <si>
    <t>UPI-004110100013933-JYOTIJOGDANKAR7-3@OK
SBI-617440331067-UPI</t>
  </si>
  <si>
    <t>CHQ DEP RET CHGS 22-06-2026-CDT261744064
6568</t>
  </si>
  <si>
    <t>UPI-50100021425290-918097657759@WAHDFCBA
NK-125184169163-PAY BY WHATSAPP</t>
  </si>
  <si>
    <t>UPI-50100021425290-918097657759@WAHDFCBA
NK-125184186898-PAY BY WHATSAPP</t>
  </si>
  <si>
    <t>UPI-925010034463645-LAVKUSHSHUKLA8114-4@
OKAXIS-654074630136-UPI</t>
  </si>
  <si>
    <t>UPI-925010034463645-LAVKUSHSHUKLA8114-4@
OKAXIS-654003233904-UPI</t>
  </si>
  <si>
    <t>UPI-VAKHARIA CHIRAG RAME-CHIRAGV1986-1@O
KICICI-SVCB0000047-654157506362-DONETION</t>
  </si>
  <si>
    <t>UPI-623302010013190-ASHA.3626-3@WAAXIS-6
17524049953-UPI</t>
  </si>
  <si>
    <t>UPI-623302010013190-ASHA.3626-3@WAAXIS-6
17585944722-UPI</t>
  </si>
  <si>
    <t>UPI-50100380858742-SULEKHAY7@OKHDFCBANK-
125235452212-CGM</t>
  </si>
  <si>
    <t>NEFT DR-ICIC0000035-SONAM AMJAD SHAIKH-NETBANK, MUM-HDFCH01079435599-HDFC8959C7E D4582</t>
  </si>
  <si>
    <t>UPI-484119167314015-SAROJOHN21-2@OKAXIS-
617667285713-UPI</t>
  </si>
  <si>
    <t>UPI-10008453006-7498682661@PTYES-6091952
21467-SENT USING PAYTM UPI</t>
  </si>
  <si>
    <t>UPI-018010100381529-9820751606@YBL-58644
1368080-PAYMENT FROM PHONEPE</t>
  </si>
  <si>
    <t>UPI-102101504684-9619068781@IBL-00302612
7488-DILIPMAHADIK</t>
  </si>
  <si>
    <t>UPI-377202010995873-BASITKADRI070-2@OKSB
I-617740218277-UPI</t>
  </si>
  <si>
    <t>UPI-377202010995873-BASITKADRI070-2@OKSB
I-617740290718-UPI</t>
  </si>
  <si>
    <t>UPI-00000020115615790-9702629393@UPI-131
747354118-FOOTWEAR PAYMENT</t>
  </si>
  <si>
    <t>UPI-00000020115615790-9702629393@UPI-131
853556640-FOOTWEAR PAYMENT</t>
  </si>
  <si>
    <t>UPI-005110100028152-ANANTA.8549-6@WAAXIS
-617706046740-UPI</t>
  </si>
  <si>
    <t>UPI-005110100028152-ANANTA.8549-6@WAAXIS
-617722375573-UPI</t>
  </si>
  <si>
    <t>UPI-520101020938450-VIJAY.JUMB-1@OKHDFCB
ANK-125335132738-UPI</t>
  </si>
  <si>
    <t>UPI-HEALTH RIPPLES-HEALTHRIPPLES@KOTAK-K
KBK0000655-617716656380-UPI SEND MONEY</t>
  </si>
  <si>
    <t>UPI-65292600001010410000268463-ANISHG7-1@OKICICI-654448409442-BALANCE PAYMENT AN ISH NAIR</t>
  </si>
  <si>
    <t>82082204 RUPAY MDR RCVRY-28/06/26</t>
  </si>
  <si>
    <t>UPI-919010042914387-PILLAIAPARNA05-1@OKA
XIS-618099026541-UPI</t>
  </si>
  <si>
    <t>UPI-00000020010849974-MAILS4SADHNAM@OKSB
I-618044845088-UPI</t>
  </si>
  <si>
    <t>UPI-911010021517190-MBHUSKUTE@OKAXIS-618
097643071-CJMS</t>
  </si>
  <si>
    <t>NEFT CR-KKBK0000958-MISRIMAL SOGMAL PUNMIYA CHARITABLE-PE PULSE PVT LTD-KKBKH261 80805700</t>
  </si>
  <si>
    <t>UPI-12470100051409-RAJESHCHOUGULE811@YBL
-495041213922-PAYMENT FROM PHONEPE</t>
  </si>
  <si>
    <t>UPI-ANANTA LAXMAN MHATRE-ANANTAMHATRE9-2
@OKSBI-CNRB0000033-618043476092-FOOTWEAR</t>
  </si>
  <si>
    <t>UPI-520101251310940-MUMTAZ.6368@WAHDFCBA
NK-125523680401-PAY BY WHATSAPP</t>
  </si>
  <si>
    <t>UPI-520101251310940-MUMTAZ.6368@WAHDFCBA
NK-125523691129-PAY BY WHATSAPP</t>
  </si>
  <si>
    <t>UPI-0339012773916-RINCYBOBY850-1@OKICICI
-654716607047-UPI</t>
  </si>
  <si>
    <t>UPI-0339012773916-RINCYBOBY850-1@OKICICI
-654741325115-UPI</t>
  </si>
  <si>
    <t>UPI-002601538080-SSVICHARE2882@OKICICI-6
54709838838-UPI</t>
  </si>
  <si>
    <t>UPI-002601538080-SSVICHARE2882@OKICICI-6
54751346557-UPI</t>
  </si>
  <si>
    <t>UPI-PROFEET ENTERPRISES-STATICBP.A000000000013740@AXISBANK-UTIB0000006-616057771 643-UPI SEND MONEY</t>
  </si>
  <si>
    <t>UPI-PROFEET ENTERPRISES-STATICBP.A000000000013740@AXISBANK-UTIB0000006-616057765086-UPI SEND MONEY</t>
  </si>
  <si>
    <t>UPI-00000020115615790-YASHTOURSTRAVELS7-1@OKHDFCBANK-124614873611-ADVANCE PAYMENT SHEO</t>
  </si>
  <si>
    <t>NEFT DR-ICIC0000004-TAUSIF SIRAJ SHAIKH-NETBANK, MUM-HDFCH01061068903-HDFC5985F5AA59E2</t>
  </si>
  <si>
    <t>NEFT DR-ICIC0000035-SONAM AMJAD SHAIKH-NETBANK, MUM-HDFCH01061083549-HDFCCE1634B83DD6</t>
  </si>
  <si>
    <t>UPI-59100029081978-SMUJUMDAR78-1@OKHDFCBANK-125036132473-LAST FINAL AMOUNT FOR SHOES</t>
  </si>
  <si>
    <t>UPI Debtors</t>
  </si>
  <si>
    <t>S S R Footcare</t>
  </si>
  <si>
    <t>RENT</t>
  </si>
  <si>
    <t>Office Expense A/C</t>
  </si>
  <si>
    <t>Suspense A/c</t>
  </si>
  <si>
    <t>SOUND BOX</t>
  </si>
  <si>
    <t>SALARY</t>
  </si>
  <si>
    <t>Cash Account</t>
  </si>
  <si>
    <t>TAUSIF SIRAJ SHAIKH</t>
  </si>
  <si>
    <t>SONAM AMJAD SHAIKH</t>
  </si>
  <si>
    <t>ELITE DIAGNOSTICS</t>
  </si>
  <si>
    <t>CHANDRAKANT D PARTE</t>
  </si>
  <si>
    <t>ANAND KUMAR ANIL 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</si>
</sst>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d\-mm\-yyyy"/>
    <numFmt numFmtId="165" formatCode="[$-14009]dd/mm/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6"/>
      <color rgb="FF1F1F1F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164" fontId="0" fillId="0" borderId="0" xfId="0" applyNumberFormat="1"/>
    <xf numFmtId="164" fontId="2" fillId="0" borderId="0" xfId="0" applyNumberFormat="1" applyFont="1"/>
    <xf numFmtId="2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1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" fontId="0" fillId="0" borderId="0" xfId="0" applyNumberFormat="1" applyAlignment="1">
      <alignment horizontal="left" vertical="top"/>
    </xf>
    <xf numFmtId="2" fontId="4" fillId="0" borderId="1" xfId="0" applyNumberFormat="1" applyFont="1" applyBorder="1" applyAlignment="1">
      <alignment horizontal="left" vertical="top"/>
    </xf>
    <xf numFmtId="2" fontId="4" fillId="0" borderId="1" xfId="0" applyNumberFormat="1" applyFont="1" applyBorder="1" applyAlignment="1">
      <alignment horizontal="left" vertical="center"/>
    </xf>
    <xf numFmtId="2" fontId="5" fillId="0" borderId="0" xfId="0" applyNumberFormat="1" applyFont="1" applyAlignment="1">
      <alignment horizontal="left" vertical="top"/>
    </xf>
    <xf numFmtId="14" fontId="0" fillId="0" borderId="0" xfId="0" applyNumberFormat="1"/>
    <xf numFmtId="165" fontId="0" fillId="0" borderId="0" xfId="0" applyNumberFormat="1" applyAlignment="1">
      <alignment horizontal="left" vertical="top"/>
    </xf>
    <xf numFmtId="2" fontId="7" fillId="0" borderId="1" xfId="1" applyNumberFormat="1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7" fillId="0" borderId="1" xfId="1" applyNumberFormat="1" applyFont="1" applyBorder="1" applyAlignment="1">
      <alignment horizontal="left" vertical="top"/>
    </xf>
    <xf numFmtId="2" fontId="8" fillId="0" borderId="1" xfId="0" applyNumberFormat="1" applyFont="1" applyBorder="1" applyAlignment="1">
      <alignment horizontal="left" vertical="top"/>
    </xf>
    <xf numFmtId="14" fontId="8" fillId="0" borderId="1" xfId="0" applyNumberFormat="1" applyFont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14" fontId="6" fillId="0" borderId="1" xfId="0" applyNumberFormat="1" applyFont="1" applyBorder="1" applyAlignment="1">
      <alignment horizontal="left" vertical="top" wrapText="1" readingOrder="1"/>
    </xf>
    <xf numFmtId="0" fontId="7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 readingOrder="1"/>
    </xf>
    <xf numFmtId="2" fontId="6" fillId="0" borderId="1" xfId="0" applyNumberFormat="1" applyFont="1" applyBorder="1" applyAlignment="1">
      <alignment horizontal="left" vertical="top" wrapText="1" readingOrder="1"/>
    </xf>
    <xf numFmtId="4" fontId="8" fillId="0" borderId="1" xfId="0" applyNumberFormat="1" applyFont="1" applyBorder="1" applyAlignment="1">
      <alignment horizontal="left" vertical="top"/>
    </xf>
    <xf numFmtId="0" fontId="0" fillId="3" borderId="2" xfId="0" applyFont="1" applyFill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22">
    <dxf>
      <font>
        <b val="0"/>
      </font>
      <alignment horizontal="left" textRotation="0" indent="0" justifyLastLine="0" shrinkToFit="0"/>
    </dxf>
    <dxf>
      <font>
        <b val="0"/>
      </font>
      <alignment horizontal="left" textRotation="0" indent="0" justifyLastLine="0" shrinkToFit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alignment horizontal="left" textRotation="0" indent="0" justifyLastLine="0" shrinkToFit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alignment horizontal="left" textRotation="0" indent="0" justifyLastLine="0" shrinkToFit="0"/>
    </dxf>
    <dxf>
      <font>
        <b val="0"/>
      </font>
      <alignment horizontal="left" textRotation="0" indent="0" justifyLastLine="0" shrinkToFit="0"/>
    </dxf>
    <dxf>
      <font>
        <b val="0"/>
      </font>
      <alignment horizontal="left" textRotation="0" indent="0" justifyLastLine="0" shrinkToFit="0"/>
    </dxf>
    <dxf>
      <font>
        <b val="0"/>
      </font>
      <numFmt numFmtId="19" formatCode="dd/mm/yyyy"/>
      <alignment horizontal="left" textRotation="0" indent="0" justifyLastLine="0" shrinkToFit="0"/>
    </dxf>
    <dxf>
      <font>
        <b val="0"/>
      </font>
      <numFmt numFmtId="19" formatCode="dd/mm/yyyy"/>
      <alignment horizontal="left" textRotation="0" indent="0" justifyLastLine="0" shrinkToFit="0"/>
    </dxf>
    <dxf>
      <font>
        <b val="0"/>
      </font>
      <alignment horizontal="left" textRotation="0" indent="0" justifyLastLine="0" shrinkToFit="0"/>
    </dxf>
    <dxf>
      <font>
        <b val="0"/>
      </font>
      <alignment horizontal="left" textRotation="0" indent="0" justifyLastLine="0" shrinkToFit="0"/>
    </dxf>
    <dxf>
      <font>
        <b val="0"/>
      </font>
      <alignment horizontal="left" textRotation="0" indent="0" justifyLastLine="0" shrinkToFit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2" formatCode="0.00"/>
      <alignment horizontal="left" vertical="top" textRotation="0" wrapText="0" indent="0" justifyLastLine="0" shrinkToFit="0" readingOrder="0"/>
    </dxf>
    <dxf>
      <numFmt numFmtId="2" formatCode="0.0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" formatCode="0"/>
      <alignment horizontal="left" vertical="top" textRotation="0" wrapText="0" indent="0" justifyLastLine="0" shrinkToFit="0" readingOrder="0"/>
    </dxf>
    <dxf>
      <numFmt numFmtId="19" formatCode="dd/mm/yyyy"/>
      <alignment horizontal="left" vertical="top" textRotation="0" wrapText="0" indent="0" justifyLastLine="0" shrinkToFit="0" readingOrder="0"/>
    </dxf>
    <dxf>
      <numFmt numFmtId="19" formatCode="dd/mm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24198F-BEB0-41B1-AC19-FBE20B5CF97D}" name="Table1" displayName="Table1" ref="A2:I43" totalsRowShown="0" headerRowDxfId="10" dataDxfId="9">
  <autoFilter ref="A2:I43" xr:uid="{1624198F-BEB0-41B1-AC19-FBE20B5CF97D}"/>
  <tableColumns count="9">
    <tableColumn id="1" xr3:uid="{00000000-0010-0000-0100-000001000000}" name="SR NO" dataDxfId="8"/>
    <tableColumn id="2" xr3:uid="{00000000-0010-0000-0100-000002000000}" name="Tran Date" dataDxfId="7"/>
    <tableColumn id="3" xr3:uid="{00000000-0010-0000-0100-000003000000}" name="Rec. Date" dataDxfId="6"/>
    <tableColumn id="4" xr3:uid="{00000000-0010-0000-0100-000004000000}" name="CHQNO" dataDxfId="5"/>
    <tableColumn id="5" xr3:uid="{00000000-0010-0000-0100-000005000000}" name="PARTICULARS" dataDxfId="4"/>
    <tableColumn id="6" xr3:uid="{00000000-0010-0000-0100-000006000000}" name="WITHDRAWL" dataDxfId="3"/>
    <tableColumn id="7" xr3:uid="{00000000-0010-0000-0100-000007000000}" name="DEPOSIT" dataDxfId="2"/>
    <tableColumn id="8" xr3:uid="{00000000-0010-0000-0100-000008000000}" name="A/c Name" dataDxfId="1"/>
    <tableColumn id="9" xr3:uid="{00000000-0010-0000-0100-000009000000}" name="Bank Name" dataDxfId="0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F3B0CC-C05E-45B9-90C0-7F84AD2AB0BD}" name="Table2" displayName="Table2" ref="A1:I135" totalsRowShown="0" headerRowDxfId="21" dataDxfId="20">
  <autoFilter ref="A1:I135" xr:uid="{22F3B0CC-C05E-45B9-90C0-7F84AD2AB0BD}"/>
  <tableColumns count="9">
    <tableColumn id="1" xr3:uid="{09101AD2-603E-46F5-A680-6B361F28202D}" name="SR NO" dataDxfId="19"/>
    <tableColumn id="2" xr3:uid="{ABD2DECF-898E-4911-B13E-668F9D09264F}" name="Tran Date" dataDxfId="18"/>
    <tableColumn id="3" xr3:uid="{DFD4CE47-5B77-413B-B528-8CF72B19D6B8}" name="Rec. Date" dataDxfId="17"/>
    <tableColumn id="4" xr3:uid="{7C0D6668-6048-4F90-B5F3-8748D056A09F}" name="CHQNO" dataDxfId="16"/>
    <tableColumn id="5" xr3:uid="{218AA00C-DF96-4C0F-85C3-A3154DAF7DDE}" name="PARTICULARS" dataDxfId="15"/>
    <tableColumn id="6" xr3:uid="{D5142B74-BFFE-4A45-80C8-552345092ABD}" name="WITHDRAWL" dataDxfId="14"/>
    <tableColumn id="7" xr3:uid="{072CC0FC-A559-46B2-9F33-89E42CACC305}" name="DEPOSIT" dataDxfId="13"/>
    <tableColumn id="8" xr3:uid="{0BF9CF32-4E67-4E2F-AE78-3704227928FA}" name="A/c Name (Miracle Ledger Name)" dataDxfId="12"/>
    <tableColumn id="9" xr3:uid="{BF6D74CA-125C-4C73-9E8B-065FC7DA3D43}" name="ICICI BANK LIMITED" dataDxfId="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73DF-5558-49F3-8344-417115A5CC23}">
  <dimension ref="A1:P43"/>
  <sheetViews>
    <sheetView zoomScale="90" zoomScaleNormal="90" zoomScaleSheetLayoutView="110" workbookViewId="0">
      <selection activeCell="A3" sqref="A3:I43"/>
    </sheetView>
  </sheetViews>
  <sheetFormatPr defaultColWidth="9.140625" defaultRowHeight="15" x14ac:dyDescent="0.25"/>
  <cols>
    <col min="1" max="1" width="15.85546875" style="1" customWidth="1"/>
    <col min="2" max="2" width="17.85546875" style="6" customWidth="1"/>
    <col min="3" max="3" width="17.140625" style="6" bestFit="1" customWidth="1"/>
    <col min="4" max="4" width="22.42578125" style="2" customWidth="1"/>
    <col min="5" max="5" width="99.5703125" style="1" bestFit="1" customWidth="1"/>
    <col min="6" max="6" width="20.28515625" style="17" customWidth="1"/>
    <col min="7" max="7" width="22.140625" style="17" customWidth="1"/>
    <col min="8" max="8" width="48.7109375" style="1" bestFit="1" customWidth="1"/>
    <col min="9" max="9" width="24.85546875" style="1" bestFit="1" customWidth="1"/>
    <col min="10" max="10" width="8.85546875" style="1" customWidth="1"/>
    <col min="11" max="11" width="15.7109375" style="1" customWidth="1"/>
    <col min="12" max="12" width="21.7109375" style="5" customWidth="1"/>
    <col min="13" max="13" width="10.7109375" style="1" customWidth="1"/>
    <col min="14" max="14" width="16.85546875" style="1" customWidth="1"/>
  </cols>
  <sheetData>
    <row r="1" spans="1:16" x14ac:dyDescent="0.25">
      <c r="A1" s="7">
        <v>1</v>
      </c>
      <c r="B1" s="8">
        <v>2</v>
      </c>
      <c r="C1" s="8">
        <v>3</v>
      </c>
      <c r="D1" s="9">
        <v>4</v>
      </c>
      <c r="E1" s="7">
        <v>5</v>
      </c>
      <c r="F1" s="15">
        <v>6</v>
      </c>
      <c r="G1" s="15">
        <v>7</v>
      </c>
      <c r="H1" s="7">
        <v>8</v>
      </c>
      <c r="I1" s="7">
        <v>9</v>
      </c>
    </row>
    <row r="2" spans="1:16" x14ac:dyDescent="0.25">
      <c r="A2" s="10" t="s">
        <v>0</v>
      </c>
      <c r="B2" s="11" t="s">
        <v>1</v>
      </c>
      <c r="C2" s="11" t="s">
        <v>2</v>
      </c>
      <c r="D2" s="12" t="s">
        <v>3</v>
      </c>
      <c r="E2" s="10" t="s">
        <v>4</v>
      </c>
      <c r="F2" s="16" t="s">
        <v>5</v>
      </c>
      <c r="G2" s="16" t="s">
        <v>6</v>
      </c>
      <c r="H2" s="13" t="s">
        <v>7</v>
      </c>
      <c r="I2" s="13" t="s">
        <v>8</v>
      </c>
    </row>
    <row r="3" spans="1:16" ht="20.25" x14ac:dyDescent="0.25">
      <c r="A3" s="21"/>
      <c r="B3" s="27"/>
      <c r="C3" s="27"/>
      <c r="D3" s="28"/>
      <c r="E3" s="29"/>
      <c r="F3" s="30"/>
      <c r="G3" s="29"/>
      <c r="H3" s="21"/>
      <c r="I3" s="25"/>
      <c r="L3" s="18"/>
      <c r="N3" s="4"/>
      <c r="P3" s="3"/>
    </row>
    <row r="4" spans="1:16" ht="20.25" x14ac:dyDescent="0.25">
      <c r="A4" s="21"/>
      <c r="B4" s="27"/>
      <c r="C4" s="27"/>
      <c r="D4" s="28"/>
      <c r="E4" s="29"/>
      <c r="F4" s="29"/>
      <c r="G4" s="30"/>
      <c r="H4" s="31"/>
      <c r="I4" s="25"/>
      <c r="L4" s="18" t="str">
        <f t="shared" ref="L4:L7" si="0">SUBSTITUTE(B4, ".", "/")</f>
        <v/>
      </c>
      <c r="N4" s="4"/>
      <c r="P4" s="3"/>
    </row>
    <row r="5" spans="1:16" ht="20.25" x14ac:dyDescent="0.25">
      <c r="A5" s="21"/>
      <c r="B5" s="27"/>
      <c r="C5" s="27"/>
      <c r="D5" s="28"/>
      <c r="E5" s="29"/>
      <c r="F5" s="30"/>
      <c r="G5" s="29"/>
      <c r="H5" s="21"/>
      <c r="I5" s="25"/>
      <c r="L5" s="18" t="str">
        <f t="shared" si="0"/>
        <v/>
      </c>
      <c r="N5" s="4"/>
      <c r="P5" s="3"/>
    </row>
    <row r="6" spans="1:16" ht="20.25" x14ac:dyDescent="0.25">
      <c r="A6" s="21"/>
      <c r="B6" s="27"/>
      <c r="C6" s="27"/>
      <c r="D6" s="28"/>
      <c r="E6" s="29"/>
      <c r="F6" s="30"/>
      <c r="G6" s="29"/>
      <c r="H6" s="31"/>
      <c r="I6" s="25"/>
      <c r="L6" s="18" t="str">
        <f t="shared" si="0"/>
        <v/>
      </c>
      <c r="N6" s="4"/>
      <c r="P6" s="3"/>
    </row>
    <row r="7" spans="1:16" ht="20.25" x14ac:dyDescent="0.25">
      <c r="A7" s="21"/>
      <c r="B7" s="27"/>
      <c r="C7" s="27"/>
      <c r="D7" s="28"/>
      <c r="E7" s="29"/>
      <c r="F7" s="29"/>
      <c r="G7" s="30"/>
      <c r="H7" s="21"/>
      <c r="I7" s="25"/>
      <c r="L7" s="18" t="str">
        <f t="shared" si="0"/>
        <v/>
      </c>
      <c r="N7" s="4"/>
      <c r="P7" s="3"/>
    </row>
    <row r="8" spans="1:16" ht="20.25" x14ac:dyDescent="0.25">
      <c r="A8" s="21"/>
      <c r="B8" s="27"/>
      <c r="C8" s="27"/>
      <c r="D8" s="28"/>
      <c r="E8" s="29"/>
      <c r="F8" s="30"/>
      <c r="G8" s="29"/>
      <c r="H8" s="21"/>
      <c r="I8" s="25"/>
      <c r="L8" s="18" t="str">
        <f t="shared" ref="L8:L43" si="1">SUBSTITUTE(B8, ".", "/")</f>
        <v/>
      </c>
      <c r="N8" s="4"/>
      <c r="P8" s="3"/>
    </row>
    <row r="9" spans="1:16" ht="20.25" x14ac:dyDescent="0.25">
      <c r="A9" s="21"/>
      <c r="B9" s="27"/>
      <c r="C9" s="27"/>
      <c r="D9" s="28"/>
      <c r="E9" s="29"/>
      <c r="F9" s="29"/>
      <c r="G9" s="30"/>
      <c r="H9" s="21"/>
      <c r="I9" s="25"/>
      <c r="L9" s="18" t="str">
        <f t="shared" si="1"/>
        <v/>
      </c>
      <c r="N9" s="4"/>
      <c r="P9" s="3"/>
    </row>
    <row r="10" spans="1:16" ht="20.25" x14ac:dyDescent="0.25">
      <c r="A10" s="21"/>
      <c r="B10" s="27"/>
      <c r="C10" s="27"/>
      <c r="D10" s="28"/>
      <c r="E10" s="29"/>
      <c r="F10" s="29"/>
      <c r="G10" s="30"/>
      <c r="H10" s="21"/>
      <c r="I10" s="25"/>
      <c r="L10" s="18" t="str">
        <f t="shared" si="1"/>
        <v/>
      </c>
      <c r="N10" s="4"/>
      <c r="P10" s="3"/>
    </row>
    <row r="11" spans="1:16" ht="20.25" x14ac:dyDescent="0.25">
      <c r="A11" s="21"/>
      <c r="B11" s="27"/>
      <c r="C11" s="27"/>
      <c r="D11" s="28"/>
      <c r="E11" s="29"/>
      <c r="F11" s="29"/>
      <c r="G11" s="30"/>
      <c r="H11" s="31"/>
      <c r="I11" s="25"/>
      <c r="L11" s="18" t="str">
        <f t="shared" si="1"/>
        <v/>
      </c>
      <c r="N11" s="4"/>
      <c r="P11" s="3"/>
    </row>
    <row r="12" spans="1:16" ht="20.25" x14ac:dyDescent="0.25">
      <c r="A12" s="21"/>
      <c r="B12" s="27"/>
      <c r="C12" s="27"/>
      <c r="D12" s="28"/>
      <c r="E12" s="29"/>
      <c r="F12" s="30"/>
      <c r="G12" s="29"/>
      <c r="H12" s="21"/>
      <c r="I12" s="25"/>
      <c r="L12" s="18" t="str">
        <f t="shared" si="1"/>
        <v/>
      </c>
      <c r="N12" s="4"/>
      <c r="P12" s="3"/>
    </row>
    <row r="13" spans="1:16" ht="20.25" x14ac:dyDescent="0.25">
      <c r="A13" s="21"/>
      <c r="B13" s="27"/>
      <c r="C13" s="27"/>
      <c r="D13" s="28"/>
      <c r="E13" s="29"/>
      <c r="F13" s="30"/>
      <c r="G13" s="29"/>
      <c r="H13" s="21"/>
      <c r="I13" s="25"/>
      <c r="L13" s="18" t="str">
        <f t="shared" si="1"/>
        <v/>
      </c>
      <c r="N13" s="4"/>
      <c r="P13" s="3"/>
    </row>
    <row r="14" spans="1:16" ht="20.25" x14ac:dyDescent="0.25">
      <c r="A14" s="21"/>
      <c r="B14" s="27"/>
      <c r="C14" s="27"/>
      <c r="D14" s="28"/>
      <c r="E14" s="29"/>
      <c r="F14" s="29"/>
      <c r="G14" s="30"/>
      <c r="H14" s="21"/>
      <c r="I14" s="25"/>
      <c r="L14" s="18" t="str">
        <f t="shared" si="1"/>
        <v/>
      </c>
      <c r="N14" s="4"/>
      <c r="P14" s="3"/>
    </row>
    <row r="15" spans="1:16" ht="20.25" x14ac:dyDescent="0.25">
      <c r="A15" s="21"/>
      <c r="B15" s="27"/>
      <c r="C15" s="27"/>
      <c r="D15" s="28"/>
      <c r="E15" s="29"/>
      <c r="F15" s="30"/>
      <c r="G15" s="29"/>
      <c r="H15" s="21"/>
      <c r="I15" s="25"/>
      <c r="L15" s="18" t="str">
        <f t="shared" si="1"/>
        <v/>
      </c>
      <c r="N15" s="4"/>
      <c r="P15" s="3"/>
    </row>
    <row r="16" spans="1:16" ht="20.25" x14ac:dyDescent="0.25">
      <c r="A16" s="21"/>
      <c r="B16" s="27"/>
      <c r="C16" s="27"/>
      <c r="D16" s="28"/>
      <c r="E16" s="29"/>
      <c r="F16" s="29"/>
      <c r="G16" s="30"/>
      <c r="H16" s="21"/>
      <c r="I16" s="25"/>
      <c r="L16" s="18" t="str">
        <f t="shared" si="1"/>
        <v/>
      </c>
      <c r="N16" s="4"/>
      <c r="P16" s="3"/>
    </row>
    <row r="17" spans="1:16" ht="20.25" x14ac:dyDescent="0.25">
      <c r="A17" s="21"/>
      <c r="B17" s="27"/>
      <c r="C17" s="27"/>
      <c r="D17" s="28"/>
      <c r="E17" s="29"/>
      <c r="F17" s="30"/>
      <c r="G17" s="29"/>
      <c r="H17" s="21"/>
      <c r="I17" s="25"/>
      <c r="L17" s="18" t="str">
        <f t="shared" si="1"/>
        <v/>
      </c>
      <c r="N17" s="4"/>
      <c r="P17" s="3"/>
    </row>
    <row r="18" spans="1:16" ht="20.25" x14ac:dyDescent="0.25">
      <c r="A18" s="21"/>
      <c r="B18" s="27"/>
      <c r="C18" s="27"/>
      <c r="D18" s="28"/>
      <c r="E18" s="29"/>
      <c r="F18" s="29"/>
      <c r="G18" s="30"/>
      <c r="H18" s="21"/>
      <c r="I18" s="25"/>
      <c r="L18" s="18" t="str">
        <f t="shared" si="1"/>
        <v/>
      </c>
      <c r="N18" s="4"/>
      <c r="P18" s="3"/>
    </row>
    <row r="19" spans="1:16" ht="20.25" x14ac:dyDescent="0.25">
      <c r="A19" s="21"/>
      <c r="B19" s="27"/>
      <c r="C19" s="27"/>
      <c r="D19" s="28"/>
      <c r="E19" s="29"/>
      <c r="F19" s="30"/>
      <c r="G19" s="29"/>
      <c r="H19" s="21"/>
      <c r="I19" s="25"/>
      <c r="L19" s="18" t="str">
        <f t="shared" si="1"/>
        <v/>
      </c>
      <c r="N19" s="4"/>
      <c r="P19" s="3"/>
    </row>
    <row r="20" spans="1:16" ht="20.25" x14ac:dyDescent="0.25">
      <c r="A20" s="21"/>
      <c r="B20" s="27"/>
      <c r="C20" s="27"/>
      <c r="D20" s="28"/>
      <c r="E20" s="29"/>
      <c r="F20" s="30"/>
      <c r="G20" s="29"/>
      <c r="H20" s="21"/>
      <c r="I20" s="25"/>
      <c r="L20" s="18" t="str">
        <f t="shared" si="1"/>
        <v/>
      </c>
      <c r="N20" s="4"/>
      <c r="P20" s="3"/>
    </row>
    <row r="21" spans="1:16" ht="20.25" x14ac:dyDescent="0.25">
      <c r="A21" s="21"/>
      <c r="B21" s="27"/>
      <c r="C21" s="27"/>
      <c r="D21" s="28"/>
      <c r="E21" s="29"/>
      <c r="F21" s="30"/>
      <c r="G21" s="29"/>
      <c r="H21" s="21"/>
      <c r="I21" s="25"/>
      <c r="L21" s="18" t="str">
        <f t="shared" si="1"/>
        <v/>
      </c>
      <c r="N21" s="4"/>
      <c r="P21" s="3" t="str">
        <f t="shared" ref="P21:P27" si="2">SUBSTITUTE(F21, ".", "/")</f>
        <v/>
      </c>
    </row>
    <row r="22" spans="1:16" ht="20.25" x14ac:dyDescent="0.25">
      <c r="A22" s="21"/>
      <c r="B22" s="24"/>
      <c r="C22" s="24"/>
      <c r="D22" s="28"/>
      <c r="E22" s="28"/>
      <c r="F22" s="20"/>
      <c r="G22" s="22"/>
      <c r="H22" s="31"/>
      <c r="I22" s="25"/>
      <c r="L22" s="18" t="str">
        <f t="shared" si="1"/>
        <v/>
      </c>
      <c r="N22" s="4"/>
      <c r="P22" s="3" t="str">
        <f t="shared" si="2"/>
        <v/>
      </c>
    </row>
    <row r="23" spans="1:16" ht="20.25" x14ac:dyDescent="0.25">
      <c r="A23" s="21"/>
      <c r="B23" s="24"/>
      <c r="C23" s="24"/>
      <c r="D23" s="28"/>
      <c r="E23" s="28"/>
      <c r="F23" s="22"/>
      <c r="G23" s="20"/>
      <c r="H23" s="21"/>
      <c r="I23" s="25"/>
      <c r="L23" s="18" t="str">
        <f t="shared" si="1"/>
        <v/>
      </c>
      <c r="N23" s="4"/>
      <c r="P23" s="3" t="str">
        <f t="shared" si="2"/>
        <v/>
      </c>
    </row>
    <row r="24" spans="1:16" ht="20.25" x14ac:dyDescent="0.25">
      <c r="A24" s="21"/>
      <c r="B24" s="24"/>
      <c r="C24" s="24"/>
      <c r="D24" s="28"/>
      <c r="E24" s="28"/>
      <c r="F24" s="20"/>
      <c r="G24" s="22"/>
      <c r="H24" s="21"/>
      <c r="I24" s="25"/>
      <c r="L24" s="18" t="str">
        <f t="shared" si="1"/>
        <v/>
      </c>
      <c r="N24" s="4"/>
      <c r="P24" s="3" t="str">
        <f t="shared" si="2"/>
        <v/>
      </c>
    </row>
    <row r="25" spans="1:16" ht="20.25" x14ac:dyDescent="0.25">
      <c r="A25" s="21"/>
      <c r="B25" s="24"/>
      <c r="C25" s="24"/>
      <c r="D25" s="28"/>
      <c r="E25" s="28"/>
      <c r="F25" s="22"/>
      <c r="G25" s="20"/>
      <c r="H25" s="21"/>
      <c r="I25" s="25"/>
      <c r="L25" s="18" t="str">
        <f t="shared" si="1"/>
        <v/>
      </c>
      <c r="N25" s="4"/>
      <c r="P25" s="3" t="str">
        <f t="shared" si="2"/>
        <v/>
      </c>
    </row>
    <row r="26" spans="1:16" ht="20.25" x14ac:dyDescent="0.25">
      <c r="A26" s="21"/>
      <c r="B26" s="24"/>
      <c r="C26" s="24"/>
      <c r="D26" s="28"/>
      <c r="E26" s="28"/>
      <c r="F26" s="20"/>
      <c r="G26" s="22"/>
      <c r="H26" s="31"/>
      <c r="I26" s="25"/>
      <c r="L26" s="18" t="str">
        <f t="shared" si="1"/>
        <v/>
      </c>
      <c r="N26" s="4"/>
      <c r="P26" s="3" t="str">
        <f t="shared" si="2"/>
        <v/>
      </c>
    </row>
    <row r="27" spans="1:16" ht="20.25" x14ac:dyDescent="0.25">
      <c r="A27" s="21"/>
      <c r="B27" s="24"/>
      <c r="C27" s="24"/>
      <c r="D27" s="28"/>
      <c r="E27" s="28"/>
      <c r="F27" s="20"/>
      <c r="G27" s="22"/>
      <c r="H27" s="21"/>
      <c r="I27" s="25"/>
      <c r="L27" s="18" t="str">
        <f t="shared" si="1"/>
        <v/>
      </c>
      <c r="N27" s="4"/>
      <c r="P27" s="3" t="str">
        <f t="shared" si="2"/>
        <v/>
      </c>
    </row>
    <row r="28" spans="1:16" ht="20.25" x14ac:dyDescent="0.25">
      <c r="A28" s="21"/>
      <c r="B28" s="24"/>
      <c r="C28" s="24"/>
      <c r="D28" s="28"/>
      <c r="E28" s="28"/>
      <c r="F28" s="20"/>
      <c r="G28" s="22"/>
      <c r="H28" s="21"/>
      <c r="I28" s="25"/>
      <c r="L28" s="18" t="str">
        <f t="shared" si="1"/>
        <v/>
      </c>
    </row>
    <row r="29" spans="1:16" ht="20.25" x14ac:dyDescent="0.25">
      <c r="A29" s="21"/>
      <c r="B29" s="24"/>
      <c r="C29" s="24"/>
      <c r="D29" s="28"/>
      <c r="E29" s="28"/>
      <c r="F29" s="20"/>
      <c r="G29" s="22"/>
      <c r="H29" s="21"/>
      <c r="I29" s="25"/>
      <c r="L29" s="18" t="str">
        <f t="shared" si="1"/>
        <v/>
      </c>
    </row>
    <row r="30" spans="1:16" ht="20.25" x14ac:dyDescent="0.25">
      <c r="A30" s="21"/>
      <c r="B30" s="24"/>
      <c r="C30" s="24"/>
      <c r="D30" s="28"/>
      <c r="E30" s="28"/>
      <c r="F30" s="20"/>
      <c r="G30" s="21"/>
      <c r="H30" s="25"/>
      <c r="I30" s="25"/>
      <c r="L30" s="18" t="str">
        <f t="shared" si="1"/>
        <v/>
      </c>
    </row>
    <row r="31" spans="1:16" ht="20.25" x14ac:dyDescent="0.25">
      <c r="A31" s="21"/>
      <c r="B31" s="24"/>
      <c r="C31" s="24"/>
      <c r="D31" s="28"/>
      <c r="E31" s="28"/>
      <c r="F31" s="20"/>
      <c r="G31" s="21"/>
      <c r="H31" s="21"/>
      <c r="I31" s="25"/>
      <c r="L31" s="18" t="str">
        <f t="shared" si="1"/>
        <v/>
      </c>
    </row>
    <row r="32" spans="1:16" ht="20.25" x14ac:dyDescent="0.25">
      <c r="A32" s="21"/>
      <c r="B32" s="24"/>
      <c r="C32" s="24"/>
      <c r="D32" s="28"/>
      <c r="E32" s="28"/>
      <c r="F32" s="20"/>
      <c r="G32" s="22"/>
      <c r="H32" s="21"/>
      <c r="I32" s="25"/>
      <c r="L32" s="18" t="str">
        <f t="shared" si="1"/>
        <v/>
      </c>
    </row>
    <row r="33" spans="1:12" ht="20.25" x14ac:dyDescent="0.25">
      <c r="A33" s="21"/>
      <c r="B33" s="24"/>
      <c r="C33" s="24"/>
      <c r="D33" s="28"/>
      <c r="E33" s="28"/>
      <c r="F33" s="20"/>
      <c r="G33" s="22"/>
      <c r="H33" s="21"/>
      <c r="I33" s="25"/>
      <c r="L33" s="18" t="str">
        <f t="shared" si="1"/>
        <v/>
      </c>
    </row>
    <row r="34" spans="1:12" ht="20.25" x14ac:dyDescent="0.25">
      <c r="A34" s="21"/>
      <c r="B34" s="24"/>
      <c r="C34" s="24"/>
      <c r="D34" s="28"/>
      <c r="E34" s="28"/>
      <c r="F34" s="22"/>
      <c r="G34" s="20"/>
      <c r="H34" s="21"/>
      <c r="I34" s="25"/>
      <c r="L34" s="18" t="str">
        <f t="shared" si="1"/>
        <v/>
      </c>
    </row>
    <row r="35" spans="1:12" ht="20.25" x14ac:dyDescent="0.25">
      <c r="A35" s="21"/>
      <c r="B35" s="24"/>
      <c r="C35" s="24"/>
      <c r="D35" s="28"/>
      <c r="E35" s="28"/>
      <c r="F35" s="20"/>
      <c r="G35" s="22"/>
      <c r="H35" s="26"/>
      <c r="I35" s="25"/>
      <c r="L35" s="18" t="str">
        <f t="shared" si="1"/>
        <v/>
      </c>
    </row>
    <row r="36" spans="1:12" ht="20.25" x14ac:dyDescent="0.25">
      <c r="A36" s="21"/>
      <c r="B36" s="24"/>
      <c r="C36" s="24"/>
      <c r="D36" s="28"/>
      <c r="E36" s="28"/>
      <c r="F36" s="22"/>
      <c r="G36" s="20"/>
      <c r="H36" s="26"/>
      <c r="I36" s="25"/>
      <c r="L36" s="18" t="str">
        <f t="shared" si="1"/>
        <v/>
      </c>
    </row>
    <row r="37" spans="1:12" ht="20.25" x14ac:dyDescent="0.25">
      <c r="A37" s="21"/>
      <c r="B37" s="24"/>
      <c r="C37" s="24"/>
      <c r="D37" s="28"/>
      <c r="E37" s="28"/>
      <c r="F37" s="20"/>
      <c r="G37" s="22"/>
      <c r="H37" s="21"/>
      <c r="I37" s="25"/>
      <c r="L37" s="18" t="str">
        <f t="shared" si="1"/>
        <v/>
      </c>
    </row>
    <row r="38" spans="1:12" ht="20.25" x14ac:dyDescent="0.25">
      <c r="A38" s="21"/>
      <c r="B38" s="24"/>
      <c r="C38" s="24"/>
      <c r="D38" s="28"/>
      <c r="E38" s="28"/>
      <c r="F38" s="20"/>
      <c r="G38" s="21"/>
      <c r="H38" s="21"/>
      <c r="I38" s="25"/>
      <c r="L38" s="18" t="str">
        <f t="shared" si="1"/>
        <v/>
      </c>
    </row>
    <row r="39" spans="1:12" ht="20.25" x14ac:dyDescent="0.25">
      <c r="A39" s="21"/>
      <c r="B39" s="24"/>
      <c r="C39" s="24"/>
      <c r="D39" s="28"/>
      <c r="E39" s="28"/>
      <c r="F39" s="20"/>
      <c r="G39" s="21"/>
      <c r="H39" s="22"/>
      <c r="I39" s="25"/>
      <c r="L39" s="18" t="str">
        <f t="shared" si="1"/>
        <v/>
      </c>
    </row>
    <row r="40" spans="1:12" ht="20.25" x14ac:dyDescent="0.25">
      <c r="A40" s="21"/>
      <c r="B40" s="24"/>
      <c r="C40" s="24"/>
      <c r="D40" s="28"/>
      <c r="E40" s="28"/>
      <c r="F40" s="20"/>
      <c r="G40" s="21"/>
      <c r="H40" s="31"/>
      <c r="I40" s="25"/>
      <c r="L40" s="18" t="str">
        <f t="shared" si="1"/>
        <v/>
      </c>
    </row>
    <row r="41" spans="1:12" ht="20.25" x14ac:dyDescent="0.25">
      <c r="A41" s="21"/>
      <c r="B41" s="24"/>
      <c r="C41" s="24"/>
      <c r="D41" s="28"/>
      <c r="E41" s="28"/>
      <c r="F41" s="22"/>
      <c r="G41" s="23"/>
      <c r="H41" s="22"/>
      <c r="I41" s="25"/>
      <c r="L41" s="18" t="str">
        <f t="shared" si="1"/>
        <v/>
      </c>
    </row>
    <row r="42" spans="1:12" ht="20.25" x14ac:dyDescent="0.25">
      <c r="A42" s="21"/>
      <c r="B42" s="24"/>
      <c r="C42" s="24"/>
      <c r="D42" s="28"/>
      <c r="E42" s="28"/>
      <c r="F42" s="20"/>
      <c r="G42" s="21"/>
      <c r="H42" s="22"/>
      <c r="I42" s="25"/>
      <c r="L42" s="18" t="str">
        <f t="shared" si="1"/>
        <v/>
      </c>
    </row>
    <row r="43" spans="1:12" ht="20.25" x14ac:dyDescent="0.25">
      <c r="A43" s="21"/>
      <c r="B43" s="24"/>
      <c r="C43" s="24"/>
      <c r="D43" s="28"/>
      <c r="E43" s="28"/>
      <c r="F43" s="22"/>
      <c r="G43" s="23"/>
      <c r="H43" s="21"/>
      <c r="I43" s="25"/>
      <c r="L43" s="18" t="str">
        <f t="shared" si="1"/>
        <v/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6719-475C-41D2-A707-ABECE807818F}">
  <dimension ref="A1:N135"/>
  <sheetViews>
    <sheetView tabSelected="1" topLeftCell="A112" zoomScaleNormal="100" workbookViewId="0">
      <selection activeCell="F134" sqref="F134"/>
    </sheetView>
  </sheetViews>
  <sheetFormatPr defaultRowHeight="15" x14ac:dyDescent="0.25"/>
  <cols>
    <col min="1" max="1" width="9.140625" style="1"/>
    <col min="2" max="2" width="16.7109375" style="19" customWidth="1"/>
    <col min="3" max="3" width="15.5703125" style="6" customWidth="1"/>
    <col min="4" max="4" width="18.5703125" style="2" bestFit="1" customWidth="1"/>
    <col min="5" max="5" width="105" style="1" bestFit="1" customWidth="1"/>
    <col min="6" max="6" width="18.42578125" style="5" customWidth="1"/>
    <col min="7" max="7" width="17.42578125" style="5" customWidth="1"/>
    <col min="8" max="8" width="49.28515625" style="1" customWidth="1"/>
    <col min="9" max="9" width="20.5703125" style="1" bestFit="1" customWidth="1"/>
    <col min="10" max="10" width="20.5703125" style="1" customWidth="1"/>
    <col min="11" max="11" width="12" style="18" bestFit="1" customWidth="1"/>
  </cols>
  <sheetData>
    <row r="1" spans="1:14" x14ac:dyDescent="0.25">
      <c r="A1" s="1" t="s">
        <v>0</v>
      </c>
      <c r="B1" s="19" t="s">
        <v>1</v>
      </c>
      <c r="C1" s="6" t="s">
        <v>2</v>
      </c>
      <c r="D1" s="2" t="s">
        <v>3</v>
      </c>
      <c r="E1" s="1" t="s">
        <v>4</v>
      </c>
      <c r="F1" s="5" t="s">
        <v>5</v>
      </c>
      <c r="G1" s="5" t="s">
        <v>6</v>
      </c>
      <c r="H1" s="1" t="s">
        <v>9</v>
      </c>
      <c r="I1" s="1" t="s">
        <v>10</v>
      </c>
      <c r="K1" s="18" t="s">
        <v>14</v>
      </c>
      <c r="N1" t="s">
        <v>13</v>
      </c>
    </row>
    <row r="2" spans="1:14" x14ac:dyDescent="0.25">
      <c r="B2" s="6" t="s">
        <v>15</v>
      </c>
      <c r="C2" s="6" t="s">
        <v>15</v>
      </c>
      <c r="D2" s="2">
        <v>615290628631</v>
      </c>
      <c r="E2" s="1" t="s">
        <v>54</v>
      </c>
      <c r="F2" s="5">
        <v>0</v>
      </c>
      <c r="G2" s="5">
        <v>2000</v>
      </c>
      <c r="H2" s="33" t="s">
        <v>188</v>
      </c>
      <c r="K2" s="18" t="e">
        <f>IF(ISNUMBER(B2), TEXT(B2, "dd/mm/yyyy"), TEXT(DATE(RIGHT(B2,4), MATCH(MID(B2,4,3),{"Jan","Feb","Mar","Apr","May","Jun","Jul","Aug","Sep","Oct","Nov","Dec"},0), LEFT(B2,2)), "dd/mm/yyyy"))</f>
        <v>#N/A</v>
      </c>
      <c r="N2" t="str">
        <f>CLEAN(E2)</f>
        <v>UPI-915010058869853-PREKSHA.2919-0@WAAXIS-615290628631-UPI</v>
      </c>
    </row>
    <row r="3" spans="1:14" x14ac:dyDescent="0.25">
      <c r="B3" s="6" t="s">
        <v>15</v>
      </c>
      <c r="C3" s="6" t="s">
        <v>15</v>
      </c>
      <c r="D3" s="2">
        <v>607182084881</v>
      </c>
      <c r="E3" s="1" t="s">
        <v>55</v>
      </c>
      <c r="F3" s="5">
        <v>0</v>
      </c>
      <c r="G3" s="5">
        <v>2500</v>
      </c>
      <c r="H3" s="1" t="s">
        <v>188</v>
      </c>
      <c r="K3" s="18" t="e">
        <f>IF(ISNUMBER(B3), TEXT(B3, "dd/mm/yyyy"), TEXT(DATE(RIGHT(B3,4), MATCH(MID(B3,4,3),{"Jan","Feb","Mar","Apr","May","Jun","Jul","Aug","Sep","Oct","Nov","Dec"},0), LEFT(B3,2)), "dd/mm/yyyy"))</f>
        <v>#N/A</v>
      </c>
      <c r="N3" t="str">
        <f t="shared" ref="N3:N38" si="0">CLEAN(E3)</f>
        <v>UPI-142501000010699-7498682661@PTYES-607182084881-SENT USING PAYTM UPI</v>
      </c>
    </row>
    <row r="4" spans="1:14" x14ac:dyDescent="0.25">
      <c r="B4" s="6" t="s">
        <v>15</v>
      </c>
      <c r="C4" s="6" t="s">
        <v>15</v>
      </c>
      <c r="D4" s="2">
        <v>109923926970</v>
      </c>
      <c r="E4" s="1" t="s">
        <v>56</v>
      </c>
      <c r="F4" s="5">
        <v>0</v>
      </c>
      <c r="G4" s="5">
        <v>8500</v>
      </c>
      <c r="H4" s="1" t="s">
        <v>188</v>
      </c>
      <c r="K4" s="18" t="e">
        <f>IF(ISNUMBER(B4), TEXT(B4, "dd/mm/yyyy"), TEXT(DATE(RIGHT(B4,4), MATCH(MID(B4,4,3),{"Jan","Feb","Mar","Apr","May","Jun","Jul","Aug","Sep","Oct","Nov","Dec"},0), LEFT(B4,2)), "dd/mm/yyyy"))</f>
        <v>#N/A</v>
      </c>
      <c r="N4" t="str">
        <f t="shared" si="0"/>
        <v>UPI-119401507327-PATILNITESH49@ICICI-109923926970-UPI PAYMENT</v>
      </c>
    </row>
    <row r="5" spans="1:14" x14ac:dyDescent="0.25">
      <c r="B5" s="6" t="s">
        <v>15</v>
      </c>
      <c r="C5" s="6" t="s">
        <v>15</v>
      </c>
      <c r="D5" s="2">
        <v>148986864634</v>
      </c>
      <c r="E5" s="1" t="s">
        <v>57</v>
      </c>
      <c r="F5" s="5">
        <v>0</v>
      </c>
      <c r="G5" s="5">
        <v>3200</v>
      </c>
      <c r="H5" s="1" t="s">
        <v>188</v>
      </c>
      <c r="K5" s="18" t="e">
        <f>IF(ISNUMBER(B5), TEXT(B5, "dd/mm/yyyy"), TEXT(DATE(RIGHT(B5,4), MATCH(MID(B5,4,3),{"Jan","Feb","Mar","Apr","May","Jun","Jul","Aug","Sep","Oct","Nov","Dec"},0), LEFT(B5,2)), "dd/mm/yyyy"))</f>
        <v>#N/A</v>
      </c>
      <c r="N5" t="str">
        <f t="shared" si="0"/>
        <v>UPI-088401511267-VENNAGIYER@IBL-148986864634-PAYMENT FROM PHONEPE</v>
      </c>
    </row>
    <row r="6" spans="1:14" x14ac:dyDescent="0.25">
      <c r="B6" s="6" t="s">
        <v>15</v>
      </c>
      <c r="C6" s="6" t="s">
        <v>15</v>
      </c>
      <c r="D6" s="2">
        <v>124036069501</v>
      </c>
      <c r="E6" s="1" t="s">
        <v>58</v>
      </c>
      <c r="F6" s="5">
        <v>0</v>
      </c>
      <c r="G6" s="5">
        <v>3200</v>
      </c>
      <c r="H6" s="1" t="s">
        <v>188</v>
      </c>
      <c r="K6" s="18" t="e">
        <f>IF(ISNUMBER(B6), TEXT(B6, "dd/mm/yyyy"), TEXT(DATE(RIGHT(B6,4), MATCH(MID(B6,4,3),{"Jan","Feb","Mar","Apr","May","Jun","Jul","Aug","Sep","Oct","Nov","Dec"},0), LEFT(B6,2)), "dd/mm/yyyy"))</f>
        <v>#N/A</v>
      </c>
      <c r="N6" t="str">
        <f t="shared" si="0"/>
        <v>UPI-000810100019580-NARESHRANKA1974@OKHDFCBANK-124036069501-UPI</v>
      </c>
    </row>
    <row r="7" spans="1:14" x14ac:dyDescent="0.25">
      <c r="B7" s="6" t="s">
        <v>15</v>
      </c>
      <c r="C7" s="6" t="s">
        <v>15</v>
      </c>
      <c r="D7" s="1">
        <v>425904341</v>
      </c>
      <c r="E7" s="1" t="s">
        <v>59</v>
      </c>
      <c r="F7" s="5">
        <v>5000</v>
      </c>
      <c r="G7" s="5">
        <v>0</v>
      </c>
      <c r="H7" s="1" t="s">
        <v>192</v>
      </c>
      <c r="K7" s="18" t="e">
        <f>IF(ISNUMBER(B7), TEXT(B7, "dd/mm/yyyy"), TEXT(DATE(RIGHT(B7,4), MATCH(MID(B7,4,3),{"Jan","Feb","Mar","Apr","May","Jun","Jul","Aug","Sep","Oct","Nov","Dec"},0), LEFT(B7,2)), "dd/mm/yyyy"))</f>
        <v>#N/A</v>
      </c>
      <c r="N7" t="str">
        <f t="shared" si="0"/>
        <v>50200110127794-TPT-HDFC298A2340DF90-GIBZSOLUTIONS PRIVATE LIMITED</v>
      </c>
    </row>
    <row r="8" spans="1:14" x14ac:dyDescent="0.25">
      <c r="B8" s="6" t="s">
        <v>15</v>
      </c>
      <c r="C8" s="6" t="s">
        <v>15</v>
      </c>
      <c r="D8" s="2">
        <v>651846380003</v>
      </c>
      <c r="E8" s="1" t="s">
        <v>60</v>
      </c>
      <c r="F8" s="5">
        <v>0</v>
      </c>
      <c r="G8" s="5">
        <v>2650</v>
      </c>
      <c r="H8" s="1" t="s">
        <v>188</v>
      </c>
      <c r="K8" s="18" t="e">
        <f>IF(ISNUMBER(B8), TEXT(B8, "dd/mm/yyyy"), TEXT(DATE(RIGHT(B8,4), MATCH(MID(B8,4,3),{"Jan","Feb","Mar","Apr","May","Jun","Jul","Aug","Sep","Oct","Nov","Dec"},0), LEFT(B8,2)), "dd/mm/yyyy"))</f>
        <v>#N/A</v>
      </c>
      <c r="N8" t="str">
        <f t="shared" si="0"/>
        <v>UPI-124401504609-HEENARAJENDRAS-1@OKICICI-651846380003-UPI</v>
      </c>
    </row>
    <row r="9" spans="1:14" x14ac:dyDescent="0.25">
      <c r="B9" s="6" t="s">
        <v>16</v>
      </c>
      <c r="C9" s="6" t="s">
        <v>16</v>
      </c>
      <c r="D9" s="2">
        <v>615319997781</v>
      </c>
      <c r="E9" s="1" t="s">
        <v>61</v>
      </c>
      <c r="F9" s="5">
        <v>0</v>
      </c>
      <c r="G9" s="5">
        <v>2000</v>
      </c>
      <c r="H9" s="1" t="s">
        <v>188</v>
      </c>
      <c r="K9" s="18" t="e">
        <f>IF(ISNUMBER(B9), TEXT(B9, "dd/mm/yyyy"), TEXT(DATE(RIGHT(B9,4), MATCH(MID(B9,4,3),{"Jan","Feb","Mar","Apr","May","Jun","Jul","Aug","Sep","Oct","Nov","Dec"},0), LEFT(B9,2)), "dd/mm/yyyy"))</f>
        <v>#N/A</v>
      </c>
      <c r="N9" t="str">
        <f t="shared" si="0"/>
        <v>UPI-317902070057221-PRACHI.3273@WAAXIS-615319997781-UPI</v>
      </c>
    </row>
    <row r="10" spans="1:14" x14ac:dyDescent="0.25">
      <c r="B10" s="6" t="s">
        <v>16</v>
      </c>
      <c r="C10" s="6" t="s">
        <v>16</v>
      </c>
      <c r="D10" s="2">
        <v>615319050216</v>
      </c>
      <c r="E10" s="1" t="s">
        <v>62</v>
      </c>
      <c r="F10" s="5">
        <v>0</v>
      </c>
      <c r="G10" s="5">
        <v>500</v>
      </c>
      <c r="H10" s="1" t="s">
        <v>188</v>
      </c>
      <c r="K10" s="18" t="e">
        <f>IF(ISNUMBER(B10), TEXT(B10, "dd/mm/yyyy"), TEXT(DATE(RIGHT(B10,4), MATCH(MID(B10,4,3),{"Jan","Feb","Mar","Apr","May","Jun","Jul","Aug","Sep","Oct","Nov","Dec"},0), LEFT(B10,2)), "dd/mm/yyyy"))</f>
        <v>#N/A</v>
      </c>
      <c r="N10" t="str">
        <f t="shared" si="0"/>
        <v>UPI-317902070057221-PRACHI.3273@WAAXIS-615319050216-UPI</v>
      </c>
    </row>
    <row r="11" spans="1:14" x14ac:dyDescent="0.25">
      <c r="B11" s="6" t="s">
        <v>16</v>
      </c>
      <c r="C11" s="6" t="s">
        <v>16</v>
      </c>
      <c r="D11" s="2">
        <v>615303347709</v>
      </c>
      <c r="E11" s="1" t="s">
        <v>63</v>
      </c>
      <c r="F11" s="5">
        <v>0</v>
      </c>
      <c r="G11" s="5">
        <v>2000</v>
      </c>
      <c r="H11" s="1" t="s">
        <v>188</v>
      </c>
      <c r="K11" s="18" t="e">
        <f>IF(ISNUMBER(B11), TEXT(B11, "dd/mm/yyyy"), TEXT(DATE(RIGHT(B11,4), MATCH(MID(B11,4,3),{"Jan","Feb","Mar","Apr","May","Jun","Jul","Aug","Sep","Oct","Nov","Dec"},0), LEFT(B11,2)), "dd/mm/yyyy"))</f>
        <v>#N/A</v>
      </c>
      <c r="N11" t="str">
        <f t="shared" si="0"/>
        <v>UPI-058601516006-PATTANAYAKSONALI.SP@OKICICI-615303347709-UPI</v>
      </c>
    </row>
    <row r="12" spans="1:14" x14ac:dyDescent="0.25">
      <c r="B12" s="6" t="s">
        <v>16</v>
      </c>
      <c r="C12" s="6" t="s">
        <v>16</v>
      </c>
      <c r="D12" s="2">
        <v>615392237206</v>
      </c>
      <c r="E12" s="1" t="s">
        <v>64</v>
      </c>
      <c r="F12" s="5">
        <v>0</v>
      </c>
      <c r="G12" s="5">
        <v>700</v>
      </c>
      <c r="H12" s="1" t="s">
        <v>188</v>
      </c>
      <c r="K12" s="18" t="e">
        <f>IF(ISNUMBER(B12), TEXT(B12, "dd/mm/yyyy"), TEXT(DATE(RIGHT(B12,4), MATCH(MID(B12,4,3),{"Jan","Feb","Mar","Apr","May","Jun","Jul","Aug","Sep","Oct","Nov","Dec"},0), LEFT(B12,2)), "dd/mm/yyyy"))</f>
        <v>#N/A</v>
      </c>
      <c r="N12" t="str">
        <f t="shared" si="0"/>
        <v>UPI-058601516006-PATTANAYAKSONALI.SP@OKICICI-615392237206-UPI</v>
      </c>
    </row>
    <row r="13" spans="1:14" x14ac:dyDescent="0.25">
      <c r="B13" s="6" t="s">
        <v>16</v>
      </c>
      <c r="C13" s="6" t="s">
        <v>16</v>
      </c>
      <c r="D13" s="2">
        <v>615344648756</v>
      </c>
      <c r="E13" s="1" t="s">
        <v>65</v>
      </c>
      <c r="F13" s="5">
        <v>0</v>
      </c>
      <c r="G13" s="5">
        <v>1500</v>
      </c>
      <c r="H13" s="1" t="s">
        <v>188</v>
      </c>
      <c r="K13" s="18" t="e">
        <f>IF(ISNUMBER(B13), TEXT(B13, "dd/mm/yyyy"), TEXT(DATE(RIGHT(B13,4), MATCH(MID(B13,4,3),{"Jan","Feb","Mar","Apr","May","Jun","Jul","Aug","Sep","Oct","Nov","Dec"},0), LEFT(B13,2)), "dd/mm/yyyy"))</f>
        <v>#N/A</v>
      </c>
      <c r="N13" t="str">
        <f t="shared" si="0"/>
        <v>UPI-001110100187053-WILFREDMCOUTINHO@OKICICI-615344648756-UPI</v>
      </c>
    </row>
    <row r="14" spans="1:14" x14ac:dyDescent="0.25">
      <c r="B14" s="6" t="s">
        <v>16</v>
      </c>
      <c r="C14" s="6" t="s">
        <v>16</v>
      </c>
      <c r="D14" s="1">
        <v>364884544</v>
      </c>
      <c r="E14" s="1" t="s">
        <v>66</v>
      </c>
      <c r="F14" s="5">
        <v>3100</v>
      </c>
      <c r="G14" s="5">
        <v>0</v>
      </c>
      <c r="H14" s="1" t="s">
        <v>192</v>
      </c>
      <c r="K14" s="18" t="e">
        <f>IF(ISNUMBER(B14), TEXT(B14, "dd/mm/yyyy"), TEXT(DATE(RIGHT(B14,4), MATCH(MID(B14,4,3),{"Jan","Feb","Mar","Apr","May","Jun","Jul","Aug","Sep","Oct","Nov","Dec"},0), LEFT(B14,2)), "dd/mm/yyyy"))</f>
        <v>#N/A</v>
      </c>
      <c r="N14" t="str">
        <f t="shared" si="0"/>
        <v>01631000019173-TPT-DIFFERENCE 2 MONTH-HASMUKH SHANTILAL SHAH</v>
      </c>
    </row>
    <row r="15" spans="1:14" x14ac:dyDescent="0.25">
      <c r="B15" s="6" t="s">
        <v>16</v>
      </c>
      <c r="C15" s="6" t="s">
        <v>16</v>
      </c>
      <c r="D15" s="1">
        <v>365442559</v>
      </c>
      <c r="E15" s="1" t="s">
        <v>67</v>
      </c>
      <c r="F15" s="5">
        <v>32550</v>
      </c>
      <c r="G15" s="5">
        <v>0</v>
      </c>
      <c r="H15" s="1" t="s">
        <v>190</v>
      </c>
      <c r="K15" s="18" t="e">
        <f>IF(ISNUMBER(B15), TEXT(B15, "dd/mm/yyyy"), TEXT(DATE(RIGHT(B15,4), MATCH(MID(B15,4,3),{"Jan","Feb","Mar","Apr","May","Jun","Jul","Aug","Sep","Oct","Nov","Dec"},0), LEFT(B15,2)), "dd/mm/yyyy"))</f>
        <v>#N/A</v>
      </c>
      <c r="N15" t="str">
        <f t="shared" si="0"/>
        <v>01631000019173-TPT-OFFICE RENT-HASMUKH SHANTILAL SHAH</v>
      </c>
    </row>
    <row r="16" spans="1:14" x14ac:dyDescent="0.25">
      <c r="B16" s="6" t="s">
        <v>16</v>
      </c>
      <c r="C16" s="6" t="s">
        <v>16</v>
      </c>
      <c r="D16" s="1">
        <v>365565377</v>
      </c>
      <c r="E16" s="1" t="s">
        <v>68</v>
      </c>
      <c r="F16" s="5">
        <v>1250</v>
      </c>
      <c r="G16" s="5">
        <v>0</v>
      </c>
      <c r="H16" s="1" t="s">
        <v>191</v>
      </c>
      <c r="K16" s="18" t="e">
        <f>IF(ISNUMBER(B16), TEXT(B16, "dd/mm/yyyy"), TEXT(DATE(RIGHT(B16,4), MATCH(MID(B16,4,3),{"Jan","Feb","Mar","Apr","May","Jun","Jul","Aug","Sep","Oct","Nov","Dec"},0), LEFT(B16,2)), "dd/mm/yyyy"))</f>
        <v>#N/A</v>
      </c>
      <c r="N16" t="str">
        <f t="shared" si="0"/>
        <v>01631000019173-TPT-PARKING-HASMUKH SHANTILAL SHAH</v>
      </c>
    </row>
    <row r="17" spans="2:14" x14ac:dyDescent="0.25">
      <c r="B17" s="6" t="s">
        <v>16</v>
      </c>
      <c r="C17" s="6" t="s">
        <v>16</v>
      </c>
      <c r="D17" s="2">
        <v>103596546608</v>
      </c>
      <c r="E17" s="1" t="s">
        <v>69</v>
      </c>
      <c r="F17" s="5">
        <v>0</v>
      </c>
      <c r="G17" s="5">
        <v>2000</v>
      </c>
      <c r="H17" s="1" t="s">
        <v>188</v>
      </c>
      <c r="K17" s="18" t="e">
        <f>IF(ISNUMBER(B17), TEXT(B17, "dd/mm/yyyy"), TEXT(DATE(RIGHT(B17,4), MATCH(MID(B17,4,3),{"Jan","Feb","Mar","Apr","May","Jun","Jul","Aug","Sep","Oct","Nov","Dec"},0), LEFT(B17,2)), "dd/mm/yyyy"))</f>
        <v>#N/A</v>
      </c>
      <c r="N17" t="str">
        <f t="shared" si="0"/>
        <v>UPI-00000030270005450-9004059594@AXL-103596546608-PAYMENT FROM PHONEPE</v>
      </c>
    </row>
    <row r="18" spans="2:14" x14ac:dyDescent="0.25">
      <c r="B18" s="6" t="s">
        <v>17</v>
      </c>
      <c r="C18" s="6" t="s">
        <v>17</v>
      </c>
      <c r="D18" s="2">
        <v>615420973320</v>
      </c>
      <c r="E18" s="1" t="s">
        <v>70</v>
      </c>
      <c r="F18" s="5">
        <v>0</v>
      </c>
      <c r="G18" s="5">
        <v>3600</v>
      </c>
      <c r="H18" s="1" t="s">
        <v>188</v>
      </c>
      <c r="K18" s="18" t="e">
        <f>IF(ISNUMBER(B18), TEXT(B18, "dd/mm/yyyy"), TEXT(DATE(RIGHT(B18,4), MATCH(MID(B18,4,3),{"Jan","Feb","Mar","Apr","May","Jun","Jul","Aug","Sep","Oct","Nov","Dec"},0), LEFT(B18,2)), "dd/mm/yyyy"))</f>
        <v>#N/A</v>
      </c>
      <c r="N18" t="str">
        <f t="shared" si="0"/>
        <v>UPI-65292600001010410000268463-ANISHG7-1615420973320-ANISH NAIR ADVANCE PAYMENT</v>
      </c>
    </row>
    <row r="19" spans="2:14" x14ac:dyDescent="0.25">
      <c r="B19" s="6" t="s">
        <v>17</v>
      </c>
      <c r="C19" s="6" t="s">
        <v>17</v>
      </c>
      <c r="D19" s="2">
        <v>607307954008</v>
      </c>
      <c r="E19" s="1" t="s">
        <v>71</v>
      </c>
      <c r="F19" s="5">
        <v>0</v>
      </c>
      <c r="G19" s="5">
        <v>3900</v>
      </c>
      <c r="H19" s="1" t="s">
        <v>188</v>
      </c>
      <c r="K19" s="18" t="e">
        <f>IF(ISNUMBER(B19), TEXT(B19, "dd/mm/yyyy"), TEXT(DATE(RIGHT(B19,4), MATCH(MID(B19,4,3),{"Jan","Feb","Mar","Apr","May","Jun","Jul","Aug","Sep","Oct","Nov","Dec"},0), LEFT(B19,2)), "dd/mm/yyyy"))</f>
        <v>#N/A</v>
      </c>
      <c r="N19" t="str">
        <f t="shared" si="0"/>
        <v>UPI-003011300003598-9820090644@PTYES-607307954008-SARTY SHOES</v>
      </c>
    </row>
    <row r="20" spans="2:14" x14ac:dyDescent="0.25">
      <c r="B20" s="6" t="s">
        <v>17</v>
      </c>
      <c r="C20" s="6" t="s">
        <v>17</v>
      </c>
      <c r="D20" s="2">
        <v>124165420209</v>
      </c>
      <c r="E20" s="1" t="s">
        <v>72</v>
      </c>
      <c r="F20" s="5">
        <v>0</v>
      </c>
      <c r="G20" s="5">
        <v>3400</v>
      </c>
      <c r="H20" s="1" t="s">
        <v>188</v>
      </c>
      <c r="K20" s="18" t="e">
        <f>IF(ISNUMBER(B20), TEXT(B20, "dd/mm/yyyy"), TEXT(DATE(RIGHT(B20,4), MATCH(MID(B20,4,3),{"Jan","Feb","Mar","Apr","May","Jun","Jul","Aug","Sep","Oct","Nov","Dec"},0), LEFT(B20,2)), "dd/mm/yyyy"))</f>
        <v>#N/A</v>
      </c>
      <c r="N20" t="str">
        <f t="shared" si="0"/>
        <v>UPI-022110100001226-MILAN.NAVNITMOTORS@OKHDFCBANK-124165420209-UPI</v>
      </c>
    </row>
    <row r="21" spans="2:14" x14ac:dyDescent="0.25">
      <c r="B21" s="6" t="s">
        <v>18</v>
      </c>
      <c r="C21" s="6" t="s">
        <v>18</v>
      </c>
      <c r="D21" s="2">
        <v>237242127605</v>
      </c>
      <c r="E21" s="1" t="s">
        <v>73</v>
      </c>
      <c r="F21" s="5">
        <v>0</v>
      </c>
      <c r="G21" s="5">
        <v>2000</v>
      </c>
      <c r="H21" s="1" t="s">
        <v>188</v>
      </c>
      <c r="K21" s="18" t="e">
        <f>IF(ISNUMBER(B21), TEXT(B21, "dd/mm/yyyy"), TEXT(DATE(RIGHT(B21,4), MATCH(MID(B21,4,3),{"Jan","Feb","Mar","Apr","May","Jun","Jul","Aug","Sep","Oct","Nov","Dec"},0), LEFT(B21,2)), "dd/mm/yyyy"))</f>
        <v>#N/A</v>
      </c>
      <c r="N21" t="str">
        <f t="shared" si="0"/>
        <v>UPI-05211132000317-SZARINA3682@YBL-237242127605-PAYMENT FROM PHONEPE</v>
      </c>
    </row>
    <row r="22" spans="2:14" x14ac:dyDescent="0.25">
      <c r="B22" s="6" t="s">
        <v>18</v>
      </c>
      <c r="C22" s="6" t="s">
        <v>18</v>
      </c>
      <c r="D22" s="1">
        <v>49714832179</v>
      </c>
      <c r="E22" s="1" t="s">
        <v>74</v>
      </c>
      <c r="F22" s="5">
        <v>0</v>
      </c>
      <c r="G22" s="5">
        <v>900</v>
      </c>
      <c r="H22" s="1" t="s">
        <v>188</v>
      </c>
      <c r="K22" s="18" t="e">
        <f>IF(ISNUMBER(B22), TEXT(B22, "dd/mm/yyyy"), TEXT(DATE(RIGHT(B22,4), MATCH(MID(B22,4,3),{"Jan","Feb","Mar","Apr","May","Jun","Jul","Aug","Sep","Oct","Nov","Dec"},0), LEFT(B22,2)), "dd/mm/yyyy"))</f>
        <v>#N/A</v>
      </c>
      <c r="N22" t="str">
        <f t="shared" si="0"/>
        <v>UPI-05211132000317-SZARINA3682@YBL-049714832179-PAYMENT FROM PHONEPE</v>
      </c>
    </row>
    <row r="23" spans="2:14" x14ac:dyDescent="0.25">
      <c r="B23" s="6" t="s">
        <v>18</v>
      </c>
      <c r="C23" s="6" t="s">
        <v>18</v>
      </c>
      <c r="D23" s="2" t="s">
        <v>12</v>
      </c>
      <c r="E23" s="1" t="s">
        <v>75</v>
      </c>
      <c r="F23" s="5">
        <v>78.58</v>
      </c>
      <c r="G23" s="5">
        <v>0</v>
      </c>
      <c r="H23" s="1" t="s">
        <v>192</v>
      </c>
      <c r="K23" s="18" t="e">
        <f>IF(ISNUMBER(B23), TEXT(B23, "dd/mm/yyyy"), TEXT(DATE(RIGHT(B23,4), MATCH(MID(B23,4,3),{"Jan","Feb","Mar","Apr","May","Jun","Jul","Aug","Sep","Oct","Nov","Dec"},0), LEFT(B23,2)), "dd/mm/yyyy"))</f>
        <v>#N/A</v>
      </c>
      <c r="N23" t="str">
        <f t="shared" si="0"/>
        <v>82082204 RUPAY MDR RCVRY-04/06/26</v>
      </c>
    </row>
    <row r="24" spans="2:14" x14ac:dyDescent="0.25">
      <c r="B24" s="6" t="s">
        <v>18</v>
      </c>
      <c r="C24" s="6" t="s">
        <v>18</v>
      </c>
      <c r="D24" s="2">
        <v>615509003342</v>
      </c>
      <c r="E24" s="1" t="s">
        <v>76</v>
      </c>
      <c r="F24" s="5">
        <v>0</v>
      </c>
      <c r="G24" s="5">
        <v>4500</v>
      </c>
      <c r="H24" s="32" t="s">
        <v>188</v>
      </c>
      <c r="K24" s="18" t="e">
        <f>IF(ISNUMBER(B24), TEXT(B24, "dd/mm/yyyy"), TEXT(DATE(RIGHT(B24,4), MATCH(MID(B24,4,3),{"Jan","Feb","Mar","Apr","May","Jun","Jul","Aug","Sep","Oct","Nov","Dec"},0), LEFT(B24,2)), "dd/mm/yyyy"))</f>
        <v>#N/A</v>
      </c>
      <c r="N24" t="str">
        <f t="shared" si="0"/>
        <v>UPI-3012848035-SHEKHARGAURI-1@OKICICI-615509003342-FOR SHOES</v>
      </c>
    </row>
    <row r="25" spans="2:14" x14ac:dyDescent="0.25">
      <c r="B25" s="6" t="s">
        <v>18</v>
      </c>
      <c r="C25" s="6" t="s">
        <v>18</v>
      </c>
      <c r="D25" s="2">
        <v>615515127143</v>
      </c>
      <c r="E25" s="1" t="s">
        <v>77</v>
      </c>
      <c r="F25" s="5">
        <v>0</v>
      </c>
      <c r="G25" s="5">
        <v>4100</v>
      </c>
      <c r="H25" s="14" t="s">
        <v>188</v>
      </c>
      <c r="K25" s="18" t="e">
        <f>IF(ISNUMBER(B25), TEXT(B25, "dd/mm/yyyy"), TEXT(DATE(RIGHT(B25,4), MATCH(MID(B25,4,3),{"Jan","Feb","Mar","Apr","May","Jun","Jul","Aug","Sep","Oct","Nov","Dec"},0), LEFT(B25,2)), "dd/mm/yyyy"))</f>
        <v>#N/A</v>
      </c>
      <c r="N25" t="str">
        <f t="shared" si="0"/>
        <v>UPI-00000038178773602-VARSHAC1964@OKSBI-615515127143-UPI</v>
      </c>
    </row>
    <row r="26" spans="2:14" x14ac:dyDescent="0.25">
      <c r="B26" s="6" t="s">
        <v>18</v>
      </c>
      <c r="C26" s="6" t="s">
        <v>18</v>
      </c>
      <c r="D26" s="2">
        <v>124217945148</v>
      </c>
      <c r="E26" s="1" t="s">
        <v>78</v>
      </c>
      <c r="F26" s="5">
        <v>0</v>
      </c>
      <c r="G26" s="5">
        <v>2000</v>
      </c>
      <c r="H26" s="1" t="s">
        <v>188</v>
      </c>
      <c r="K26" s="18" t="e">
        <f>IF(ISNUMBER(B26), TEXT(B26, "dd/mm/yyyy"), TEXT(DATE(RIGHT(B26,4), MATCH(MID(B26,4,3),{"Jan","Feb","Mar","Apr","May","Jun","Jul","Aug","Sep","Oct","Nov","Dec"},0), LEFT(B26,2)), "dd/mm/yyyy"))</f>
        <v>#N/A</v>
      </c>
      <c r="N26" t="str">
        <f t="shared" si="0"/>
        <v>UPI-110001750723-917709967570@WAHDFCBANK-124217945148-PAY BY WHATSAPP</v>
      </c>
    </row>
    <row r="27" spans="2:14" x14ac:dyDescent="0.25">
      <c r="B27" s="6" t="s">
        <v>18</v>
      </c>
      <c r="C27" s="6" t="s">
        <v>18</v>
      </c>
      <c r="D27" s="2">
        <v>615583507376</v>
      </c>
      <c r="E27" s="1" t="s">
        <v>79</v>
      </c>
      <c r="F27" s="5">
        <v>0</v>
      </c>
      <c r="G27" s="5">
        <v>2200</v>
      </c>
      <c r="H27" s="1" t="s">
        <v>188</v>
      </c>
      <c r="K27" s="18" t="e">
        <f>IF(ISNUMBER(B27), TEXT(B27, "dd/mm/yyyy"), TEXT(DATE(RIGHT(B27,4), MATCH(MID(B27,4,3),{"Jan","Feb","Mar","Apr","May","Jun","Jul","Aug","Sep","Oct","Nov","Dec"},0), LEFT(B27,2)), "dd/mm/yyyy"))</f>
        <v>#N/A</v>
      </c>
      <c r="N27" t="str">
        <f t="shared" si="0"/>
        <v>UPI-110001750723-DHUMALATHARV93@OKICICI-615583507376-UPI</v>
      </c>
    </row>
    <row r="28" spans="2:14" x14ac:dyDescent="0.25">
      <c r="B28" s="6" t="s">
        <v>19</v>
      </c>
      <c r="C28" s="6" t="s">
        <v>19</v>
      </c>
      <c r="D28" s="1">
        <v>501471563</v>
      </c>
      <c r="E28" s="1" t="s">
        <v>80</v>
      </c>
      <c r="F28" s="5">
        <v>50000</v>
      </c>
      <c r="G28" s="5">
        <v>0</v>
      </c>
      <c r="H28" s="1" t="s">
        <v>189</v>
      </c>
      <c r="K28" s="18" t="e">
        <f>IF(ISNUMBER(B28), TEXT(B28, "dd/mm/yyyy"), TEXT(DATE(RIGHT(B28,4), MATCH(MID(B28,4,3),{"Jan","Feb","Mar","Apr","May","Jun","Jul","Aug","Sep","Oct","Nov","Dec"},0), LEFT(B28,2)), "dd/mm/yyyy"))</f>
        <v>#N/A</v>
      </c>
      <c r="N28" t="str">
        <f>CLEAN(E28)</f>
        <v>50200116476990-TPT-MAY-S S R FOOTCARE</v>
      </c>
    </row>
    <row r="29" spans="2:14" x14ac:dyDescent="0.25">
      <c r="B29" s="6" t="s">
        <v>19</v>
      </c>
      <c r="C29" s="6" t="s">
        <v>19</v>
      </c>
      <c r="D29" s="2">
        <v>112333794521</v>
      </c>
      <c r="E29" s="1" t="s">
        <v>81</v>
      </c>
      <c r="F29" s="5">
        <v>0</v>
      </c>
      <c r="G29" s="5">
        <v>5575</v>
      </c>
      <c r="H29" s="1" t="s">
        <v>188</v>
      </c>
      <c r="K29" s="18" t="e">
        <f>IF(ISNUMBER(B29), TEXT(B29, "dd/mm/yyyy"), TEXT(DATE(RIGHT(B29,4), MATCH(MID(B29,4,3),{"Jan","Feb","Mar","Apr","May","Jun","Jul","Aug","Sep","Oct","Nov","Dec"},0), LEFT(B29,2)), "dd/mm/yyyy"))</f>
        <v>#N/A</v>
      </c>
      <c r="N29" t="str">
        <f t="shared" si="0"/>
        <v>UPI-00000031713320250-9820245851@UPI-112333794521-NO REMARKS</v>
      </c>
    </row>
    <row r="30" spans="2:14" x14ac:dyDescent="0.25">
      <c r="B30" s="6" t="s">
        <v>20</v>
      </c>
      <c r="C30" s="6" t="s">
        <v>20</v>
      </c>
      <c r="D30" s="2">
        <v>124300727899</v>
      </c>
      <c r="E30" s="1" t="s">
        <v>82</v>
      </c>
      <c r="F30" s="5">
        <v>0</v>
      </c>
      <c r="G30" s="5">
        <v>5575</v>
      </c>
      <c r="H30" s="1" t="s">
        <v>188</v>
      </c>
      <c r="K30" s="18" t="e">
        <f>IF(ISNUMBER(B30), TEXT(B30, "dd/mm/yyyy"), TEXT(DATE(RIGHT(B30,4), MATCH(MID(B30,4,3),{"Jan","Feb","Mar","Apr","May","Jun","Jul","Aug","Sep","Oct","Nov","Dec"},0), LEFT(B30,2)), "dd/mm/yyyy"))</f>
        <v>#N/A</v>
      </c>
      <c r="N30" t="str">
        <f t="shared" si="0"/>
        <v>UPI-6446268219-POONAM.MESTRY189@OKHDFCBANK-124300727899-UPI</v>
      </c>
    </row>
    <row r="31" spans="2:14" x14ac:dyDescent="0.25">
      <c r="B31" s="6" t="s">
        <v>20</v>
      </c>
      <c r="C31" s="6" t="s">
        <v>20</v>
      </c>
      <c r="D31" s="2">
        <v>615717196908</v>
      </c>
      <c r="E31" s="1" t="s">
        <v>83</v>
      </c>
      <c r="F31" s="5">
        <v>0</v>
      </c>
      <c r="G31" s="5">
        <v>14875</v>
      </c>
      <c r="H31" s="1" t="s">
        <v>188</v>
      </c>
      <c r="K31" s="18" t="e">
        <f>IF(ISNUMBER(B31), TEXT(B31, "dd/mm/yyyy"), TEXT(DATE(RIGHT(B31,4), MATCH(MID(B31,4,3),{"Jan","Feb","Mar","Apr","May","Jun","Jul","Aug","Sep","Oct","Nov","Dec"},0), LEFT(B31,2)), "dd/mm/yyyy"))</f>
        <v>#N/A</v>
      </c>
      <c r="N31" t="str">
        <f t="shared" si="0"/>
        <v>UPI-4311416178-PRASHANTP2B@KOTAK-615717196908-PAIDVIAKOTAKAPP</v>
      </c>
    </row>
    <row r="32" spans="2:14" x14ac:dyDescent="0.25">
      <c r="B32" s="6" t="s">
        <v>21</v>
      </c>
      <c r="C32" s="6" t="s">
        <v>21</v>
      </c>
      <c r="D32" s="2">
        <v>615934446708</v>
      </c>
      <c r="E32" s="1" t="s">
        <v>84</v>
      </c>
      <c r="F32" s="5">
        <v>0</v>
      </c>
      <c r="G32" s="5">
        <v>3000</v>
      </c>
      <c r="H32" s="1" t="s">
        <v>188</v>
      </c>
      <c r="K32" s="18" t="e">
        <f>IF(ISNUMBER(B32), TEXT(B32, "dd/mm/yyyy"), TEXT(DATE(RIGHT(B32,4), MATCH(MID(B32,4,3),{"Jan","Feb","Mar","Apr","May","Jun","Jul","Aug","Sep","Oct","Nov","Dec"},0), LEFT(B32,2)), "dd/mm/yyyy"))</f>
        <v>#N/A</v>
      </c>
      <c r="N32" t="str">
        <f t="shared" si="0"/>
        <v>UPI-484119167314015-SAROJOHN21-2@OKAXIS-615934446708-UPI</v>
      </c>
    </row>
    <row r="33" spans="2:14" x14ac:dyDescent="0.25">
      <c r="B33" s="6" t="s">
        <v>21</v>
      </c>
      <c r="C33" s="6" t="s">
        <v>21</v>
      </c>
      <c r="D33" s="2">
        <v>615984555416</v>
      </c>
      <c r="E33" s="1" t="s">
        <v>85</v>
      </c>
      <c r="F33" s="5">
        <v>0</v>
      </c>
      <c r="G33" s="5">
        <v>4800</v>
      </c>
      <c r="H33" s="1" t="s">
        <v>188</v>
      </c>
      <c r="K33" s="18" t="e">
        <f>IF(ISNUMBER(B33), TEXT(B33, "dd/mm/yyyy"), TEXT(DATE(RIGHT(B33,4), MATCH(MID(B33,4,3),{"Jan","Feb","Mar","Apr","May","Jun","Jul","Aug","Sep","Oct","Nov","Dec"},0), LEFT(B33,2)), "dd/mm/yyyy"))</f>
        <v>#N/A</v>
      </c>
      <c r="N33" t="str">
        <f t="shared" si="0"/>
        <v>UPI-0131064430300-CHINOYKAUSHIK765@OKAXIS-615984555416-UPI</v>
      </c>
    </row>
    <row r="34" spans="2:14" x14ac:dyDescent="0.25">
      <c r="B34" s="6" t="s">
        <v>21</v>
      </c>
      <c r="C34" s="6" t="s">
        <v>21</v>
      </c>
      <c r="D34" s="2">
        <v>615971915539</v>
      </c>
      <c r="E34" s="1" t="s">
        <v>86</v>
      </c>
      <c r="F34" s="5">
        <v>0</v>
      </c>
      <c r="G34" s="5">
        <v>3000</v>
      </c>
      <c r="H34" s="1" t="s">
        <v>188</v>
      </c>
      <c r="K34" s="18" t="e">
        <f>IF(ISNUMBER(B34), TEXT(B34, "dd/mm/yyyy"), TEXT(DATE(RIGHT(B34,4), MATCH(MID(B34,4,3),{"Jan","Feb","Mar","Apr","May","Jun","Jul","Aug","Sep","Oct","Nov","Dec"},0), LEFT(B34,2)), "dd/mm/yyyy"))</f>
        <v>#N/A</v>
      </c>
      <c r="N34" t="str">
        <f t="shared" si="0"/>
        <v>UPI-7183000100043944-KALPESHSONAWANE.31290@OKSBI-615971915539-UPI</v>
      </c>
    </row>
    <row r="35" spans="2:14" x14ac:dyDescent="0.25">
      <c r="B35" s="6" t="s">
        <v>21</v>
      </c>
      <c r="C35" s="6" t="s">
        <v>21</v>
      </c>
      <c r="D35" s="2">
        <v>615961078130</v>
      </c>
      <c r="E35" s="1" t="s">
        <v>87</v>
      </c>
      <c r="F35" s="5">
        <v>0</v>
      </c>
      <c r="G35" s="5">
        <v>5575</v>
      </c>
      <c r="H35" s="1" t="s">
        <v>188</v>
      </c>
      <c r="K35" s="18" t="e">
        <f>IF(ISNUMBER(B35), TEXT(B35, "dd/mm/yyyy"), TEXT(DATE(RIGHT(B35,4), MATCH(MID(B35,4,3),{"Jan","Feb","Mar","Apr","May","Jun","Jul","Aug","Sep","Oct","Nov","Dec"},0), LEFT(B35,2)), "dd/mm/yyyy"))</f>
        <v>#N/A</v>
      </c>
      <c r="N35" t="str">
        <f t="shared" si="0"/>
        <v>UPI-2845186758-HETALBHIMANI26215@OKICICI-615961078130-MEDICINE</v>
      </c>
    </row>
    <row r="36" spans="2:14" x14ac:dyDescent="0.25">
      <c r="B36" s="6" t="s">
        <v>21</v>
      </c>
      <c r="C36" s="6" t="s">
        <v>21</v>
      </c>
      <c r="D36" s="2">
        <v>904973881780</v>
      </c>
      <c r="E36" s="1" t="s">
        <v>88</v>
      </c>
      <c r="F36" s="5">
        <v>0</v>
      </c>
      <c r="G36" s="5">
        <v>10000</v>
      </c>
      <c r="H36" s="1" t="s">
        <v>188</v>
      </c>
      <c r="K36" s="18" t="e">
        <f>IF(ISNUMBER(B36), TEXT(B36, "dd/mm/yyyy"), TEXT(DATE(RIGHT(B36,4), MATCH(MID(B36,4,3),{"Jan","Feb","Mar","Apr","May","Jun","Jul","Aug","Sep","Oct","Nov","Dec"},0), LEFT(B36,2)), "dd/mm/yyyy"))</f>
        <v>#N/A</v>
      </c>
      <c r="N36" t="str">
        <f t="shared" si="0"/>
        <v>UPI-04160100030602-PAL.RAMMURAT2@YBL-904973881780-PAYMENT FROM PHONEPE</v>
      </c>
    </row>
    <row r="37" spans="2:14" x14ac:dyDescent="0.25">
      <c r="B37" s="6" t="s">
        <v>22</v>
      </c>
      <c r="C37" s="6" t="s">
        <v>22</v>
      </c>
      <c r="D37" s="2">
        <v>616057771643</v>
      </c>
      <c r="E37" s="1" t="s">
        <v>182</v>
      </c>
      <c r="F37" s="5">
        <v>2000</v>
      </c>
      <c r="G37" s="5">
        <v>0</v>
      </c>
      <c r="H37" s="1" t="s">
        <v>188</v>
      </c>
      <c r="K37" s="18" t="e">
        <f>IF(ISNUMBER(B37), TEXT(B37, "dd/mm/yyyy"), TEXT(DATE(RIGHT(B37,4), MATCH(MID(B37,4,3),{"Jan","Feb","Mar","Apr","May","Jun","Jul","Aug","Sep","Oct","Nov","Dec"},0), LEFT(B37,2)), "dd/mm/yyyy"))</f>
        <v>#N/A</v>
      </c>
      <c r="N37" t="str">
        <f t="shared" si="0"/>
        <v>UPI-PROFEET ENTERPRISES-STATICBP.A000000000013740@AXISBANK-UTIB0000006-616057771 643-UPI SEND MONEY</v>
      </c>
    </row>
    <row r="38" spans="2:14" x14ac:dyDescent="0.25">
      <c r="B38" s="6" t="s">
        <v>22</v>
      </c>
      <c r="C38" s="6" t="s">
        <v>22</v>
      </c>
      <c r="D38" s="2">
        <v>616057765086</v>
      </c>
      <c r="E38" s="1" t="s">
        <v>183</v>
      </c>
      <c r="F38" s="5">
        <v>2000</v>
      </c>
      <c r="G38" s="5">
        <v>0</v>
      </c>
      <c r="H38" s="1" t="s">
        <v>188</v>
      </c>
      <c r="K38" s="18" t="e">
        <f>IF(ISNUMBER(B38), TEXT(B38, "dd/mm/yyyy"), TEXT(DATE(RIGHT(B38,4), MATCH(MID(B38,4,3),{"Jan","Feb","Mar","Apr","May","Jun","Jul","Aug","Sep","Oct","Nov","Dec"},0), LEFT(B38,2)), "dd/mm/yyyy"))</f>
        <v>#N/A</v>
      </c>
      <c r="N38" t="str">
        <f t="shared" si="0"/>
        <v>UPI-PROFEET ENTERPRISES-STATICBP.A000000000013740@AXISBANK-UTIB0000006-616057765086-UPI SEND MONEY</v>
      </c>
    </row>
    <row r="39" spans="2:14" x14ac:dyDescent="0.25">
      <c r="B39" s="6" t="s">
        <v>22</v>
      </c>
      <c r="C39" s="6" t="s">
        <v>22</v>
      </c>
      <c r="D39" s="2">
        <v>616059384148</v>
      </c>
      <c r="E39" s="1" t="s">
        <v>89</v>
      </c>
      <c r="F39" s="5">
        <v>35000</v>
      </c>
      <c r="G39" s="5">
        <v>0</v>
      </c>
      <c r="H39" s="1" t="s">
        <v>188</v>
      </c>
    </row>
    <row r="40" spans="2:14" x14ac:dyDescent="0.25">
      <c r="B40" s="6" t="s">
        <v>22</v>
      </c>
      <c r="C40" s="6" t="s">
        <v>22</v>
      </c>
      <c r="D40" s="2">
        <v>616059414477</v>
      </c>
      <c r="E40" s="1" t="s">
        <v>90</v>
      </c>
      <c r="F40" s="5">
        <v>5000</v>
      </c>
      <c r="G40" s="5">
        <v>0</v>
      </c>
      <c r="H40" s="1" t="s">
        <v>188</v>
      </c>
    </row>
    <row r="41" spans="2:14" x14ac:dyDescent="0.25">
      <c r="B41" s="6" t="s">
        <v>22</v>
      </c>
      <c r="C41" s="6" t="s">
        <v>22</v>
      </c>
      <c r="D41" s="2" t="s">
        <v>41</v>
      </c>
      <c r="E41" s="1" t="s">
        <v>91</v>
      </c>
      <c r="F41" s="5">
        <v>5900</v>
      </c>
      <c r="G41" s="5">
        <v>0</v>
      </c>
      <c r="H41" s="1" t="s">
        <v>11</v>
      </c>
    </row>
    <row r="42" spans="2:14" x14ac:dyDescent="0.25">
      <c r="B42" s="6" t="s">
        <v>22</v>
      </c>
      <c r="C42" s="6" t="s">
        <v>22</v>
      </c>
      <c r="D42" s="2">
        <v>652687477655</v>
      </c>
      <c r="E42" s="1" t="s">
        <v>92</v>
      </c>
      <c r="F42" s="5">
        <v>0</v>
      </c>
      <c r="G42" s="5">
        <v>2500</v>
      </c>
      <c r="H42" s="1" t="s">
        <v>188</v>
      </c>
    </row>
    <row r="43" spans="2:14" x14ac:dyDescent="0.25">
      <c r="B43" s="6" t="s">
        <v>22</v>
      </c>
      <c r="C43" s="6" t="s">
        <v>22</v>
      </c>
      <c r="D43" s="2">
        <v>652662363461</v>
      </c>
      <c r="E43" s="1" t="s">
        <v>93</v>
      </c>
      <c r="F43" s="5">
        <v>0</v>
      </c>
      <c r="G43" s="5">
        <v>2800</v>
      </c>
      <c r="H43" s="1" t="s">
        <v>188</v>
      </c>
    </row>
    <row r="44" spans="2:14" x14ac:dyDescent="0.25">
      <c r="B44" s="6" t="s">
        <v>23</v>
      </c>
      <c r="C44" s="6" t="s">
        <v>23</v>
      </c>
      <c r="D44" s="2" t="s">
        <v>12</v>
      </c>
      <c r="E44" s="1" t="s">
        <v>94</v>
      </c>
      <c r="F44" s="5">
        <v>116.82</v>
      </c>
      <c r="G44" s="5">
        <v>0</v>
      </c>
      <c r="H44" s="1" t="s">
        <v>193</v>
      </c>
    </row>
    <row r="45" spans="2:14" x14ac:dyDescent="0.25">
      <c r="B45" s="6" t="s">
        <v>23</v>
      </c>
      <c r="C45" s="6" t="s">
        <v>23</v>
      </c>
      <c r="D45" s="2">
        <v>616195638487</v>
      </c>
      <c r="E45" s="1" t="s">
        <v>95</v>
      </c>
      <c r="F45" s="5">
        <v>0</v>
      </c>
      <c r="G45" s="5">
        <v>2000</v>
      </c>
      <c r="H45" s="1" t="s">
        <v>188</v>
      </c>
    </row>
    <row r="46" spans="2:14" x14ac:dyDescent="0.25">
      <c r="B46" s="6" t="s">
        <v>23</v>
      </c>
      <c r="C46" s="6" t="s">
        <v>23</v>
      </c>
      <c r="D46" s="2">
        <v>616195716650</v>
      </c>
      <c r="E46" s="1" t="s">
        <v>96</v>
      </c>
      <c r="F46" s="5">
        <v>0</v>
      </c>
      <c r="G46" s="5">
        <v>1700</v>
      </c>
      <c r="H46" s="1" t="s">
        <v>188</v>
      </c>
    </row>
    <row r="47" spans="2:14" x14ac:dyDescent="0.25">
      <c r="B47" s="6" t="s">
        <v>23</v>
      </c>
      <c r="C47" s="6" t="s">
        <v>23</v>
      </c>
      <c r="D47" s="2">
        <v>124516240316</v>
      </c>
      <c r="E47" s="1" t="s">
        <v>97</v>
      </c>
      <c r="F47" s="5">
        <v>0</v>
      </c>
      <c r="G47" s="5">
        <v>2500</v>
      </c>
      <c r="H47" s="1" t="s">
        <v>188</v>
      </c>
    </row>
    <row r="48" spans="2:14" x14ac:dyDescent="0.25">
      <c r="B48" s="6" t="s">
        <v>23</v>
      </c>
      <c r="C48" s="6" t="s">
        <v>23</v>
      </c>
      <c r="D48" s="2">
        <v>616146663713</v>
      </c>
      <c r="E48" s="1" t="s">
        <v>98</v>
      </c>
      <c r="F48" s="5">
        <v>0</v>
      </c>
      <c r="G48" s="5">
        <v>4200</v>
      </c>
      <c r="H48" s="1" t="s">
        <v>188</v>
      </c>
    </row>
    <row r="49" spans="2:8" x14ac:dyDescent="0.25">
      <c r="B49" s="6" t="s">
        <v>23</v>
      </c>
      <c r="C49" s="6" t="s">
        <v>23</v>
      </c>
      <c r="D49" s="2">
        <v>616121097863</v>
      </c>
      <c r="E49" s="1" t="s">
        <v>99</v>
      </c>
      <c r="F49" s="5">
        <v>0</v>
      </c>
      <c r="G49" s="5">
        <v>6000</v>
      </c>
      <c r="H49" s="14" t="s">
        <v>188</v>
      </c>
    </row>
    <row r="50" spans="2:8" x14ac:dyDescent="0.25">
      <c r="B50" s="6" t="s">
        <v>23</v>
      </c>
      <c r="C50" s="6" t="s">
        <v>23</v>
      </c>
      <c r="D50" s="2">
        <v>616120575312</v>
      </c>
      <c r="E50" s="1" t="s">
        <v>100</v>
      </c>
      <c r="F50" s="5">
        <v>0</v>
      </c>
      <c r="G50" s="5">
        <v>10000</v>
      </c>
      <c r="H50" s="1" t="s">
        <v>188</v>
      </c>
    </row>
    <row r="51" spans="2:8" x14ac:dyDescent="0.25">
      <c r="B51" s="6" t="s">
        <v>23</v>
      </c>
      <c r="C51" s="6" t="s">
        <v>23</v>
      </c>
      <c r="D51" s="2" t="s">
        <v>42</v>
      </c>
      <c r="E51" s="1" t="s">
        <v>101</v>
      </c>
      <c r="F51" s="5">
        <v>31800</v>
      </c>
      <c r="G51" s="5">
        <v>0</v>
      </c>
      <c r="H51" s="1" t="s">
        <v>194</v>
      </c>
    </row>
    <row r="52" spans="2:8" x14ac:dyDescent="0.25">
      <c r="B52" s="6" t="s">
        <v>23</v>
      </c>
      <c r="C52" s="6" t="s">
        <v>23</v>
      </c>
      <c r="D52" s="2" t="s">
        <v>43</v>
      </c>
      <c r="E52" s="1" t="s">
        <v>102</v>
      </c>
      <c r="F52" s="5">
        <v>29668</v>
      </c>
      <c r="G52" s="5">
        <v>0</v>
      </c>
      <c r="H52" s="1" t="s">
        <v>194</v>
      </c>
    </row>
    <row r="53" spans="2:8" x14ac:dyDescent="0.25">
      <c r="B53" s="6" t="s">
        <v>23</v>
      </c>
      <c r="C53" s="6" t="s">
        <v>23</v>
      </c>
      <c r="D53" s="2">
        <v>616173278023</v>
      </c>
      <c r="E53" s="1" t="s">
        <v>103</v>
      </c>
      <c r="F53" s="5">
        <v>8862</v>
      </c>
      <c r="G53" s="5">
        <v>0</v>
      </c>
      <c r="H53" s="1" t="s">
        <v>188</v>
      </c>
    </row>
    <row r="54" spans="2:8" x14ac:dyDescent="0.25">
      <c r="B54" s="6" t="s">
        <v>24</v>
      </c>
      <c r="C54" s="6" t="s">
        <v>24</v>
      </c>
      <c r="D54" s="2" t="s">
        <v>12</v>
      </c>
      <c r="E54" s="1" t="s">
        <v>104</v>
      </c>
      <c r="F54" s="5">
        <v>0</v>
      </c>
      <c r="G54" s="5">
        <v>65000</v>
      </c>
      <c r="H54" s="1" t="s">
        <v>195</v>
      </c>
    </row>
    <row r="55" spans="2:8" x14ac:dyDescent="0.25">
      <c r="B55" s="6" t="s">
        <v>24</v>
      </c>
      <c r="C55" s="6" t="s">
        <v>24</v>
      </c>
      <c r="D55" s="2">
        <v>307874522738</v>
      </c>
      <c r="E55" s="1" t="s">
        <v>105</v>
      </c>
      <c r="F55" s="5">
        <v>0</v>
      </c>
      <c r="G55" s="5">
        <v>5575</v>
      </c>
      <c r="H55" s="1" t="s">
        <v>188</v>
      </c>
    </row>
    <row r="56" spans="2:8" x14ac:dyDescent="0.25">
      <c r="B56" s="6" t="s">
        <v>24</v>
      </c>
      <c r="C56" s="6" t="s">
        <v>24</v>
      </c>
      <c r="D56" s="2">
        <v>124614873611</v>
      </c>
      <c r="E56" s="1" t="s">
        <v>184</v>
      </c>
      <c r="F56" s="5">
        <v>0</v>
      </c>
      <c r="G56" s="5">
        <v>2000</v>
      </c>
      <c r="H56" s="1" t="s">
        <v>188</v>
      </c>
    </row>
    <row r="57" spans="2:8" x14ac:dyDescent="0.25">
      <c r="B57" s="6" t="s">
        <v>24</v>
      </c>
      <c r="C57" s="6" t="s">
        <v>24</v>
      </c>
      <c r="D57" s="2">
        <v>616370603109</v>
      </c>
      <c r="E57" s="1" t="s">
        <v>106</v>
      </c>
      <c r="F57" s="5">
        <v>0</v>
      </c>
      <c r="G57" s="5">
        <v>75500</v>
      </c>
      <c r="H57" s="1" t="s">
        <v>188</v>
      </c>
    </row>
    <row r="58" spans="2:8" x14ac:dyDescent="0.25">
      <c r="B58" s="6" t="s">
        <v>24</v>
      </c>
      <c r="C58" s="6" t="s">
        <v>24</v>
      </c>
      <c r="D58" s="2">
        <v>124622901322</v>
      </c>
      <c r="E58" s="1" t="s">
        <v>107</v>
      </c>
      <c r="F58" s="5">
        <v>0</v>
      </c>
      <c r="G58" s="5">
        <v>2650</v>
      </c>
      <c r="H58" s="1" t="s">
        <v>188</v>
      </c>
    </row>
    <row r="59" spans="2:8" x14ac:dyDescent="0.25">
      <c r="B59" s="6" t="s">
        <v>25</v>
      </c>
      <c r="C59" s="6" t="s">
        <v>25</v>
      </c>
      <c r="D59" s="2">
        <v>616435683067</v>
      </c>
      <c r="E59" s="1" t="s">
        <v>108</v>
      </c>
      <c r="F59" s="5">
        <v>0</v>
      </c>
      <c r="G59" s="5">
        <v>5575</v>
      </c>
      <c r="H59" s="1" t="s">
        <v>188</v>
      </c>
    </row>
    <row r="60" spans="2:8" x14ac:dyDescent="0.25">
      <c r="B60" s="6" t="s">
        <v>25</v>
      </c>
      <c r="C60" s="6" t="s">
        <v>25</v>
      </c>
      <c r="D60" s="2" t="s">
        <v>44</v>
      </c>
      <c r="E60" s="1" t="s">
        <v>185</v>
      </c>
      <c r="F60" s="5">
        <v>40000</v>
      </c>
      <c r="G60" s="5">
        <v>0</v>
      </c>
      <c r="H60" s="1" t="s">
        <v>196</v>
      </c>
    </row>
    <row r="61" spans="2:8" x14ac:dyDescent="0.25">
      <c r="B61" s="6" t="s">
        <v>25</v>
      </c>
      <c r="C61" s="6" t="s">
        <v>25</v>
      </c>
      <c r="D61" s="1">
        <v>212883653</v>
      </c>
      <c r="E61" s="1" t="s">
        <v>109</v>
      </c>
      <c r="F61" s="5">
        <v>80000</v>
      </c>
      <c r="G61" s="5">
        <v>0</v>
      </c>
      <c r="H61" s="1" t="s">
        <v>189</v>
      </c>
    </row>
    <row r="62" spans="2:8" x14ac:dyDescent="0.25">
      <c r="B62" s="6" t="s">
        <v>25</v>
      </c>
      <c r="C62" s="6" t="s">
        <v>25</v>
      </c>
      <c r="D62" s="2" t="s">
        <v>45</v>
      </c>
      <c r="E62" s="1" t="s">
        <v>186</v>
      </c>
      <c r="F62" s="5">
        <v>30000</v>
      </c>
      <c r="G62" s="5">
        <v>0</v>
      </c>
      <c r="H62" s="1" t="s">
        <v>197</v>
      </c>
    </row>
    <row r="63" spans="2:8" x14ac:dyDescent="0.25">
      <c r="B63" s="6" t="s">
        <v>25</v>
      </c>
      <c r="C63" s="6" t="s">
        <v>25</v>
      </c>
      <c r="D63" s="2">
        <v>653004440995</v>
      </c>
      <c r="E63" s="1" t="s">
        <v>110</v>
      </c>
      <c r="F63" s="5">
        <v>0</v>
      </c>
      <c r="G63" s="5">
        <v>2600</v>
      </c>
      <c r="H63" s="1" t="s">
        <v>188</v>
      </c>
    </row>
    <row r="64" spans="2:8" x14ac:dyDescent="0.25">
      <c r="B64" s="6" t="s">
        <v>25</v>
      </c>
      <c r="C64" s="6" t="s">
        <v>25</v>
      </c>
      <c r="D64" s="2">
        <v>653015477798</v>
      </c>
      <c r="E64" s="1" t="s">
        <v>111</v>
      </c>
      <c r="F64" s="5">
        <v>0</v>
      </c>
      <c r="G64" s="5">
        <v>2627</v>
      </c>
      <c r="H64" s="1" t="s">
        <v>188</v>
      </c>
    </row>
    <row r="65" spans="2:8" x14ac:dyDescent="0.25">
      <c r="B65" s="6" t="s">
        <v>26</v>
      </c>
      <c r="C65" s="6" t="s">
        <v>26</v>
      </c>
      <c r="D65" s="2">
        <v>124765378792</v>
      </c>
      <c r="E65" s="1" t="s">
        <v>112</v>
      </c>
      <c r="F65" s="5">
        <v>0</v>
      </c>
      <c r="G65" s="5">
        <v>2000</v>
      </c>
      <c r="H65" s="1" t="s">
        <v>188</v>
      </c>
    </row>
    <row r="66" spans="2:8" x14ac:dyDescent="0.25">
      <c r="B66" s="6" t="s">
        <v>26</v>
      </c>
      <c r="C66" s="6" t="s">
        <v>26</v>
      </c>
      <c r="D66" s="2">
        <v>616617429279</v>
      </c>
      <c r="E66" s="1" t="s">
        <v>113</v>
      </c>
      <c r="F66" s="5">
        <v>0</v>
      </c>
      <c r="G66" s="5">
        <v>2650</v>
      </c>
      <c r="H66" s="1" t="s">
        <v>188</v>
      </c>
    </row>
    <row r="67" spans="2:8" x14ac:dyDescent="0.25">
      <c r="B67" s="6" t="s">
        <v>26</v>
      </c>
      <c r="C67" s="6" t="s">
        <v>26</v>
      </c>
      <c r="D67" s="2">
        <v>653215371670</v>
      </c>
      <c r="E67" s="1" t="s">
        <v>114</v>
      </c>
      <c r="F67" s="5">
        <v>0</v>
      </c>
      <c r="G67" s="5">
        <v>2500</v>
      </c>
      <c r="H67" s="1" t="s">
        <v>188</v>
      </c>
    </row>
    <row r="68" spans="2:8" x14ac:dyDescent="0.25">
      <c r="B68" s="6" t="s">
        <v>26</v>
      </c>
      <c r="C68" s="6" t="s">
        <v>26</v>
      </c>
      <c r="D68" s="2" t="s">
        <v>12</v>
      </c>
      <c r="E68" s="1" t="s">
        <v>115</v>
      </c>
      <c r="F68" s="5">
        <v>0</v>
      </c>
      <c r="G68" s="5">
        <v>99</v>
      </c>
      <c r="H68" s="1" t="s">
        <v>192</v>
      </c>
    </row>
    <row r="69" spans="2:8" x14ac:dyDescent="0.25">
      <c r="B69" s="6" t="s">
        <v>27</v>
      </c>
      <c r="C69" s="6" t="s">
        <v>27</v>
      </c>
      <c r="D69" s="2">
        <v>653343000279</v>
      </c>
      <c r="E69" s="1" t="s">
        <v>116</v>
      </c>
      <c r="F69" s="5">
        <v>0</v>
      </c>
      <c r="G69" s="5">
        <v>3200</v>
      </c>
      <c r="H69" s="1" t="s">
        <v>188</v>
      </c>
    </row>
    <row r="70" spans="2:8" x14ac:dyDescent="0.25">
      <c r="B70" s="6" t="s">
        <v>27</v>
      </c>
      <c r="C70" s="6" t="s">
        <v>27</v>
      </c>
      <c r="D70" s="2" t="s">
        <v>12</v>
      </c>
      <c r="E70" s="1" t="s">
        <v>117</v>
      </c>
      <c r="F70" s="5">
        <v>112.44</v>
      </c>
      <c r="G70" s="5">
        <v>0</v>
      </c>
      <c r="H70" s="1" t="s">
        <v>192</v>
      </c>
    </row>
    <row r="71" spans="2:8" x14ac:dyDescent="0.25">
      <c r="B71" s="6" t="s">
        <v>27</v>
      </c>
      <c r="C71" s="6" t="s">
        <v>27</v>
      </c>
      <c r="D71" s="2">
        <v>759563907548</v>
      </c>
      <c r="E71" s="1" t="s">
        <v>118</v>
      </c>
      <c r="F71" s="5">
        <v>0</v>
      </c>
      <c r="G71" s="5">
        <v>2200</v>
      </c>
      <c r="H71" s="1" t="s">
        <v>188</v>
      </c>
    </row>
    <row r="72" spans="2:8" x14ac:dyDescent="0.25">
      <c r="B72" s="6" t="s">
        <v>28</v>
      </c>
      <c r="C72" s="6" t="s">
        <v>28</v>
      </c>
      <c r="D72" s="2">
        <v>653450275241</v>
      </c>
      <c r="E72" s="1" t="s">
        <v>119</v>
      </c>
      <c r="F72" s="5">
        <v>0</v>
      </c>
      <c r="G72" s="5">
        <v>2400</v>
      </c>
      <c r="H72" s="1" t="s">
        <v>188</v>
      </c>
    </row>
    <row r="73" spans="2:8" x14ac:dyDescent="0.25">
      <c r="B73" s="6" t="s">
        <v>28</v>
      </c>
      <c r="C73" s="6" t="s">
        <v>28</v>
      </c>
      <c r="D73" s="1">
        <v>97501026148</v>
      </c>
      <c r="E73" s="1" t="s">
        <v>120</v>
      </c>
      <c r="F73" s="5">
        <v>0</v>
      </c>
      <c r="G73" s="5">
        <v>2500</v>
      </c>
      <c r="H73" s="1" t="s">
        <v>188</v>
      </c>
    </row>
    <row r="74" spans="2:8" x14ac:dyDescent="0.25">
      <c r="B74" s="6" t="s">
        <v>28</v>
      </c>
      <c r="C74" s="6" t="s">
        <v>28</v>
      </c>
      <c r="D74" s="2">
        <v>653476074946</v>
      </c>
      <c r="E74" s="1" t="s">
        <v>121</v>
      </c>
      <c r="F74" s="5">
        <v>0</v>
      </c>
      <c r="G74" s="5">
        <v>5575</v>
      </c>
      <c r="H74" s="1" t="s">
        <v>188</v>
      </c>
    </row>
    <row r="75" spans="2:8" x14ac:dyDescent="0.25">
      <c r="B75" s="6" t="s">
        <v>28</v>
      </c>
      <c r="C75" s="6" t="s">
        <v>28</v>
      </c>
      <c r="D75" s="2">
        <v>923532119601</v>
      </c>
      <c r="E75" s="1" t="s">
        <v>122</v>
      </c>
      <c r="F75" s="5">
        <v>0</v>
      </c>
      <c r="G75" s="5">
        <v>2000</v>
      </c>
      <c r="H75" s="1" t="s">
        <v>188</v>
      </c>
    </row>
    <row r="76" spans="2:8" x14ac:dyDescent="0.25">
      <c r="B76" s="6" t="s">
        <v>28</v>
      </c>
      <c r="C76" s="6" t="s">
        <v>28</v>
      </c>
      <c r="D76" s="2">
        <v>627512466971</v>
      </c>
      <c r="E76" s="1" t="s">
        <v>123</v>
      </c>
      <c r="F76" s="5">
        <v>0</v>
      </c>
      <c r="G76" s="5">
        <v>500</v>
      </c>
      <c r="H76" s="1" t="s">
        <v>188</v>
      </c>
    </row>
    <row r="77" spans="2:8" x14ac:dyDescent="0.25">
      <c r="B77" s="6" t="s">
        <v>29</v>
      </c>
      <c r="C77" s="6" t="s">
        <v>29</v>
      </c>
      <c r="D77" s="2">
        <v>616989651484</v>
      </c>
      <c r="E77" s="1" t="s">
        <v>124</v>
      </c>
      <c r="F77" s="5">
        <v>0</v>
      </c>
      <c r="G77" s="5">
        <v>5575</v>
      </c>
      <c r="H77" s="1" t="s">
        <v>188</v>
      </c>
    </row>
    <row r="78" spans="2:8" x14ac:dyDescent="0.25">
      <c r="B78" s="6" t="s">
        <v>29</v>
      </c>
      <c r="C78" s="6" t="s">
        <v>29</v>
      </c>
      <c r="D78" s="2">
        <v>283855041757</v>
      </c>
      <c r="E78" s="1" t="s">
        <v>125</v>
      </c>
      <c r="F78" s="5">
        <v>0</v>
      </c>
      <c r="G78" s="5">
        <v>2500</v>
      </c>
      <c r="H78" s="1" t="s">
        <v>188</v>
      </c>
    </row>
    <row r="79" spans="2:8" x14ac:dyDescent="0.25">
      <c r="B79" s="6" t="s">
        <v>29</v>
      </c>
      <c r="C79" s="6" t="s">
        <v>29</v>
      </c>
      <c r="D79" s="2">
        <v>124937521984</v>
      </c>
      <c r="E79" s="1" t="s">
        <v>126</v>
      </c>
      <c r="F79" s="5">
        <v>0</v>
      </c>
      <c r="G79" s="5">
        <v>5575</v>
      </c>
      <c r="H79" s="1" t="s">
        <v>188</v>
      </c>
    </row>
    <row r="80" spans="2:8" x14ac:dyDescent="0.25">
      <c r="B80" s="6" t="s">
        <v>29</v>
      </c>
      <c r="C80" s="6" t="s">
        <v>29</v>
      </c>
      <c r="D80" s="2" t="s">
        <v>46</v>
      </c>
      <c r="E80" s="1" t="s">
        <v>127</v>
      </c>
      <c r="F80" s="5">
        <v>39000</v>
      </c>
      <c r="G80" s="5">
        <v>0</v>
      </c>
      <c r="H80" s="1" t="s">
        <v>198</v>
      </c>
    </row>
    <row r="81" spans="2:8" x14ac:dyDescent="0.25">
      <c r="B81" s="6" t="s">
        <v>30</v>
      </c>
      <c r="C81" s="6" t="s">
        <v>30</v>
      </c>
      <c r="D81" s="2">
        <v>617008764910</v>
      </c>
      <c r="E81" s="1" t="s">
        <v>128</v>
      </c>
      <c r="F81" s="5">
        <v>0</v>
      </c>
      <c r="G81" s="5">
        <v>3100</v>
      </c>
      <c r="H81" s="1" t="s">
        <v>188</v>
      </c>
    </row>
    <row r="82" spans="2:8" x14ac:dyDescent="0.25">
      <c r="B82" s="6" t="s">
        <v>30</v>
      </c>
      <c r="C82" s="6" t="s">
        <v>30</v>
      </c>
      <c r="D82" s="2">
        <v>5286</v>
      </c>
      <c r="E82" s="1" t="s">
        <v>129</v>
      </c>
      <c r="F82" s="5">
        <v>0</v>
      </c>
      <c r="G82" s="5">
        <v>85000</v>
      </c>
      <c r="H82" s="1" t="s">
        <v>195</v>
      </c>
    </row>
    <row r="83" spans="2:8" x14ac:dyDescent="0.25">
      <c r="B83" s="6" t="s">
        <v>30</v>
      </c>
      <c r="C83" s="6" t="s">
        <v>30</v>
      </c>
      <c r="D83" s="2">
        <v>377057426202</v>
      </c>
      <c r="E83" s="1" t="s">
        <v>130</v>
      </c>
      <c r="F83" s="5">
        <v>0</v>
      </c>
      <c r="G83" s="5">
        <v>2000</v>
      </c>
      <c r="H83" s="1" t="s">
        <v>188</v>
      </c>
    </row>
    <row r="84" spans="2:8" x14ac:dyDescent="0.25">
      <c r="B84" s="6" t="s">
        <v>31</v>
      </c>
      <c r="C84" s="6" t="s">
        <v>31</v>
      </c>
      <c r="D84" s="2" t="s">
        <v>47</v>
      </c>
      <c r="E84" s="1" t="s">
        <v>131</v>
      </c>
      <c r="F84" s="5">
        <v>3500</v>
      </c>
      <c r="G84" s="5">
        <v>0</v>
      </c>
      <c r="H84" s="34" t="s">
        <v>200</v>
      </c>
    </row>
    <row r="85" spans="2:8" x14ac:dyDescent="0.25">
      <c r="B85" s="6" t="s">
        <v>31</v>
      </c>
      <c r="C85" s="6" t="s">
        <v>31</v>
      </c>
      <c r="D85" s="2" t="s">
        <v>48</v>
      </c>
      <c r="E85" s="1" t="s">
        <v>132</v>
      </c>
      <c r="F85" s="5">
        <v>5990</v>
      </c>
      <c r="G85" s="5">
        <v>0</v>
      </c>
      <c r="H85" s="1" t="s">
        <v>192</v>
      </c>
    </row>
    <row r="86" spans="2:8" x14ac:dyDescent="0.25">
      <c r="B86" s="6" t="s">
        <v>31</v>
      </c>
      <c r="C86" s="6" t="s">
        <v>31</v>
      </c>
      <c r="D86" s="2" t="s">
        <v>49</v>
      </c>
      <c r="E86" s="1" t="s">
        <v>133</v>
      </c>
      <c r="F86" s="5">
        <v>7490</v>
      </c>
      <c r="G86" s="5">
        <v>0</v>
      </c>
      <c r="H86" s="1" t="s">
        <v>199</v>
      </c>
    </row>
    <row r="87" spans="2:8" x14ac:dyDescent="0.25">
      <c r="B87" s="6" t="s">
        <v>31</v>
      </c>
      <c r="C87" s="6" t="s">
        <v>31</v>
      </c>
      <c r="D87" s="2" t="s">
        <v>50</v>
      </c>
      <c r="E87" s="1" t="s">
        <v>134</v>
      </c>
      <c r="F87" s="5">
        <v>7290</v>
      </c>
      <c r="G87" s="5">
        <v>0</v>
      </c>
      <c r="H87" s="1" t="s">
        <v>199</v>
      </c>
    </row>
    <row r="88" spans="2:8" x14ac:dyDescent="0.25">
      <c r="B88" s="6" t="s">
        <v>31</v>
      </c>
      <c r="C88" s="6" t="s">
        <v>31</v>
      </c>
      <c r="D88" s="2" t="s">
        <v>51</v>
      </c>
      <c r="E88" s="1" t="s">
        <v>135</v>
      </c>
      <c r="F88" s="5">
        <v>5860</v>
      </c>
      <c r="G88" s="5">
        <v>0</v>
      </c>
      <c r="H88" s="1" t="s">
        <v>11</v>
      </c>
    </row>
    <row r="89" spans="2:8" x14ac:dyDescent="0.25">
      <c r="B89" s="6" t="s">
        <v>31</v>
      </c>
      <c r="C89" s="6" t="s">
        <v>31</v>
      </c>
      <c r="D89" s="1">
        <v>658626003</v>
      </c>
      <c r="E89" s="1" t="s">
        <v>136</v>
      </c>
      <c r="F89" s="5">
        <v>5000</v>
      </c>
      <c r="G89" s="5">
        <v>0</v>
      </c>
      <c r="H89" s="1" t="s">
        <v>192</v>
      </c>
    </row>
    <row r="90" spans="2:8" x14ac:dyDescent="0.25">
      <c r="B90" s="6" t="s">
        <v>31</v>
      </c>
      <c r="C90" s="6" t="s">
        <v>31</v>
      </c>
      <c r="D90" s="2">
        <v>125036132473</v>
      </c>
      <c r="E90" s="1" t="s">
        <v>187</v>
      </c>
      <c r="F90" s="5">
        <v>0</v>
      </c>
      <c r="G90" s="5">
        <v>3500</v>
      </c>
      <c r="H90" s="1" t="s">
        <v>188</v>
      </c>
    </row>
    <row r="91" spans="2:8" x14ac:dyDescent="0.25">
      <c r="B91" s="6" t="s">
        <v>31</v>
      </c>
      <c r="C91" s="6" t="s">
        <v>31</v>
      </c>
      <c r="D91" s="2">
        <v>617194344801</v>
      </c>
      <c r="E91" s="1" t="s">
        <v>137</v>
      </c>
      <c r="F91" s="5">
        <v>0</v>
      </c>
      <c r="G91" s="5">
        <v>2500</v>
      </c>
      <c r="H91" s="1" t="s">
        <v>188</v>
      </c>
    </row>
    <row r="92" spans="2:8" x14ac:dyDescent="0.25">
      <c r="B92" s="6" t="s">
        <v>32</v>
      </c>
      <c r="C92" s="6" t="s">
        <v>32</v>
      </c>
      <c r="D92" s="1">
        <v>326386803</v>
      </c>
      <c r="E92" s="1" t="s">
        <v>138</v>
      </c>
      <c r="F92" s="5">
        <v>23720</v>
      </c>
      <c r="G92" s="5">
        <v>0</v>
      </c>
      <c r="H92" s="1" t="s">
        <v>189</v>
      </c>
    </row>
    <row r="93" spans="2:8" x14ac:dyDescent="0.25">
      <c r="B93" s="6" t="s">
        <v>32</v>
      </c>
      <c r="C93" s="6" t="s">
        <v>32</v>
      </c>
      <c r="D93" s="1">
        <v>38752</v>
      </c>
      <c r="E93" s="1" t="s">
        <v>139</v>
      </c>
      <c r="F93" s="5">
        <v>0</v>
      </c>
      <c r="G93" s="5">
        <v>5500</v>
      </c>
      <c r="H93" s="35" t="s">
        <v>192</v>
      </c>
    </row>
    <row r="94" spans="2:8" x14ac:dyDescent="0.25">
      <c r="B94" s="6" t="s">
        <v>32</v>
      </c>
      <c r="C94" s="6" t="s">
        <v>32</v>
      </c>
      <c r="D94" s="1">
        <v>38752</v>
      </c>
      <c r="E94" s="1" t="s">
        <v>140</v>
      </c>
      <c r="F94" s="5">
        <v>5500</v>
      </c>
      <c r="G94" s="5">
        <v>0</v>
      </c>
      <c r="H94" s="1" t="s">
        <v>192</v>
      </c>
    </row>
    <row r="95" spans="2:8" x14ac:dyDescent="0.25">
      <c r="B95" s="6" t="s">
        <v>32</v>
      </c>
      <c r="C95" s="6" t="s">
        <v>32</v>
      </c>
      <c r="D95" s="2">
        <v>762378087432</v>
      </c>
      <c r="E95" s="1" t="s">
        <v>141</v>
      </c>
      <c r="F95" s="5">
        <v>0</v>
      </c>
      <c r="G95" s="5">
        <v>3000</v>
      </c>
      <c r="H95" s="1" t="s">
        <v>188</v>
      </c>
    </row>
    <row r="96" spans="2:8" x14ac:dyDescent="0.25">
      <c r="B96" s="6" t="s">
        <v>32</v>
      </c>
      <c r="C96" s="6" t="s">
        <v>32</v>
      </c>
      <c r="D96" s="2">
        <v>653963274119</v>
      </c>
      <c r="E96" s="1" t="s">
        <v>142</v>
      </c>
      <c r="F96" s="5">
        <v>0</v>
      </c>
      <c r="G96" s="5">
        <v>2700</v>
      </c>
      <c r="H96" s="1" t="s">
        <v>188</v>
      </c>
    </row>
    <row r="97" spans="2:8" x14ac:dyDescent="0.25">
      <c r="B97" s="6" t="s">
        <v>32</v>
      </c>
      <c r="C97" s="6" t="s">
        <v>32</v>
      </c>
      <c r="D97" s="2">
        <v>653949873111</v>
      </c>
      <c r="E97" s="1" t="s">
        <v>143</v>
      </c>
      <c r="F97" s="5">
        <v>0</v>
      </c>
      <c r="G97" s="5">
        <v>2000</v>
      </c>
      <c r="H97" s="1" t="s">
        <v>188</v>
      </c>
    </row>
    <row r="98" spans="2:8" x14ac:dyDescent="0.25">
      <c r="B98" s="6" t="s">
        <v>33</v>
      </c>
      <c r="C98" s="6" t="s">
        <v>33</v>
      </c>
      <c r="D98" s="2">
        <v>617471296461</v>
      </c>
      <c r="E98" s="1" t="s">
        <v>144</v>
      </c>
      <c r="F98" s="5">
        <v>0</v>
      </c>
      <c r="G98" s="5">
        <v>3100</v>
      </c>
      <c r="H98" s="1" t="s">
        <v>188</v>
      </c>
    </row>
    <row r="99" spans="2:8" x14ac:dyDescent="0.25">
      <c r="B99" s="6" t="s">
        <v>33</v>
      </c>
      <c r="C99" s="6" t="s">
        <v>33</v>
      </c>
      <c r="D99" s="2">
        <v>617440331067</v>
      </c>
      <c r="E99" s="1" t="s">
        <v>145</v>
      </c>
      <c r="F99" s="5">
        <v>0</v>
      </c>
      <c r="G99" s="5">
        <v>3000</v>
      </c>
      <c r="H99" s="1" t="s">
        <v>188</v>
      </c>
    </row>
    <row r="100" spans="2:8" x14ac:dyDescent="0.25">
      <c r="B100" s="6" t="s">
        <v>33</v>
      </c>
      <c r="C100" s="6" t="s">
        <v>33</v>
      </c>
      <c r="D100" s="2">
        <v>38752</v>
      </c>
      <c r="E100" s="1" t="s">
        <v>146</v>
      </c>
      <c r="F100" s="5">
        <v>236</v>
      </c>
      <c r="G100" s="5">
        <v>0</v>
      </c>
      <c r="H100" s="1" t="s">
        <v>192</v>
      </c>
    </row>
    <row r="101" spans="2:8" x14ac:dyDescent="0.25">
      <c r="B101" s="6" t="s">
        <v>33</v>
      </c>
      <c r="C101" s="6" t="s">
        <v>33</v>
      </c>
      <c r="D101" s="2">
        <v>125184169163</v>
      </c>
      <c r="E101" s="1" t="s">
        <v>147</v>
      </c>
      <c r="F101" s="5">
        <v>0</v>
      </c>
      <c r="G101" s="5">
        <v>2000</v>
      </c>
      <c r="H101" s="1" t="s">
        <v>188</v>
      </c>
    </row>
    <row r="102" spans="2:8" x14ac:dyDescent="0.25">
      <c r="B102" s="6" t="s">
        <v>33</v>
      </c>
      <c r="C102" s="6" t="s">
        <v>33</v>
      </c>
      <c r="D102" s="2">
        <v>125184186898</v>
      </c>
      <c r="E102" s="1" t="s">
        <v>148</v>
      </c>
      <c r="F102" s="5">
        <v>0</v>
      </c>
      <c r="G102" s="5">
        <v>1400</v>
      </c>
      <c r="H102" s="1" t="s">
        <v>188</v>
      </c>
    </row>
    <row r="103" spans="2:8" x14ac:dyDescent="0.25">
      <c r="B103" s="6" t="s">
        <v>33</v>
      </c>
      <c r="C103" s="6" t="s">
        <v>33</v>
      </c>
      <c r="D103" s="2">
        <v>654074630136</v>
      </c>
      <c r="E103" s="1" t="s">
        <v>149</v>
      </c>
      <c r="F103" s="5">
        <v>0</v>
      </c>
      <c r="G103" s="5">
        <v>2000</v>
      </c>
      <c r="H103" s="1" t="s">
        <v>188</v>
      </c>
    </row>
    <row r="104" spans="2:8" x14ac:dyDescent="0.25">
      <c r="B104" s="6" t="s">
        <v>33</v>
      </c>
      <c r="C104" s="6" t="s">
        <v>33</v>
      </c>
      <c r="D104" s="2">
        <v>654003233904</v>
      </c>
      <c r="E104" s="1" t="s">
        <v>150</v>
      </c>
      <c r="F104" s="5">
        <v>0</v>
      </c>
      <c r="G104" s="5">
        <v>2500</v>
      </c>
      <c r="H104" s="1" t="s">
        <v>188</v>
      </c>
    </row>
    <row r="105" spans="2:8" x14ac:dyDescent="0.25">
      <c r="B105" s="6" t="s">
        <v>34</v>
      </c>
      <c r="C105" s="6" t="s">
        <v>34</v>
      </c>
      <c r="D105" s="2">
        <v>654157506362</v>
      </c>
      <c r="E105" s="1" t="s">
        <v>151</v>
      </c>
      <c r="F105" s="5">
        <v>0</v>
      </c>
      <c r="G105" s="5">
        <v>5750</v>
      </c>
      <c r="H105" s="1" t="s">
        <v>188</v>
      </c>
    </row>
    <row r="106" spans="2:8" x14ac:dyDescent="0.25">
      <c r="B106" s="6" t="s">
        <v>34</v>
      </c>
      <c r="C106" s="6" t="s">
        <v>34</v>
      </c>
      <c r="D106" s="2">
        <v>617524049953</v>
      </c>
      <c r="E106" s="1" t="s">
        <v>152</v>
      </c>
      <c r="F106" s="5">
        <v>0</v>
      </c>
      <c r="G106" s="5">
        <v>2000</v>
      </c>
      <c r="H106" s="1" t="s">
        <v>188</v>
      </c>
    </row>
    <row r="107" spans="2:8" x14ac:dyDescent="0.25">
      <c r="B107" s="6" t="s">
        <v>34</v>
      </c>
      <c r="C107" s="6" t="s">
        <v>34</v>
      </c>
      <c r="D107" s="2">
        <v>617585944722</v>
      </c>
      <c r="E107" s="1" t="s">
        <v>153</v>
      </c>
      <c r="F107" s="5">
        <v>0</v>
      </c>
      <c r="G107" s="5">
        <v>700</v>
      </c>
      <c r="H107" s="1" t="s">
        <v>188</v>
      </c>
    </row>
    <row r="108" spans="2:8" x14ac:dyDescent="0.25">
      <c r="B108" s="6" t="s">
        <v>34</v>
      </c>
      <c r="C108" s="6" t="s">
        <v>34</v>
      </c>
      <c r="D108" s="2">
        <v>125235452212</v>
      </c>
      <c r="E108" s="1" t="s">
        <v>154</v>
      </c>
      <c r="F108" s="5">
        <v>0</v>
      </c>
      <c r="G108" s="5">
        <v>5575</v>
      </c>
      <c r="H108" s="1" t="s">
        <v>188</v>
      </c>
    </row>
    <row r="109" spans="2:8" x14ac:dyDescent="0.25">
      <c r="B109" s="6" t="s">
        <v>34</v>
      </c>
      <c r="C109" s="6" t="s">
        <v>34</v>
      </c>
      <c r="D109" s="2" t="s">
        <v>52</v>
      </c>
      <c r="E109" s="1" t="s">
        <v>155</v>
      </c>
      <c r="F109" s="5">
        <v>5000</v>
      </c>
      <c r="G109" s="5">
        <v>0</v>
      </c>
      <c r="H109" s="1" t="s">
        <v>197</v>
      </c>
    </row>
    <row r="110" spans="2:8" x14ac:dyDescent="0.25">
      <c r="B110" s="6" t="s">
        <v>35</v>
      </c>
      <c r="C110" s="6" t="s">
        <v>35</v>
      </c>
      <c r="D110" s="2">
        <v>617667285713</v>
      </c>
      <c r="E110" s="1" t="s">
        <v>156</v>
      </c>
      <c r="F110" s="5">
        <v>0</v>
      </c>
      <c r="G110" s="5">
        <v>3500</v>
      </c>
      <c r="H110" s="1" t="s">
        <v>188</v>
      </c>
    </row>
    <row r="111" spans="2:8" x14ac:dyDescent="0.25">
      <c r="B111" s="6" t="s">
        <v>35</v>
      </c>
      <c r="C111" s="6" t="s">
        <v>35</v>
      </c>
      <c r="D111" s="2">
        <v>609195221467</v>
      </c>
      <c r="E111" s="1" t="s">
        <v>157</v>
      </c>
      <c r="F111" s="5">
        <v>0</v>
      </c>
      <c r="G111" s="5">
        <v>3149</v>
      </c>
      <c r="H111" s="1" t="s">
        <v>188</v>
      </c>
    </row>
    <row r="112" spans="2:8" x14ac:dyDescent="0.25">
      <c r="B112" s="6" t="s">
        <v>35</v>
      </c>
      <c r="C112" s="6" t="s">
        <v>35</v>
      </c>
      <c r="D112" s="2">
        <v>586441368080</v>
      </c>
      <c r="E112" s="1" t="s">
        <v>158</v>
      </c>
      <c r="F112" s="5">
        <v>0</v>
      </c>
      <c r="G112" s="5">
        <v>2900</v>
      </c>
      <c r="H112" s="1" t="s">
        <v>188</v>
      </c>
    </row>
    <row r="113" spans="2:8" x14ac:dyDescent="0.25">
      <c r="B113" s="6" t="s">
        <v>35</v>
      </c>
      <c r="C113" s="6" t="s">
        <v>35</v>
      </c>
      <c r="D113" s="1">
        <v>3026127488</v>
      </c>
      <c r="E113" s="1" t="s">
        <v>159</v>
      </c>
      <c r="F113" s="5">
        <v>0</v>
      </c>
      <c r="G113" s="5">
        <v>3000</v>
      </c>
      <c r="H113" s="1" t="s">
        <v>188</v>
      </c>
    </row>
    <row r="114" spans="2:8" x14ac:dyDescent="0.25">
      <c r="B114" s="6" t="s">
        <v>36</v>
      </c>
      <c r="C114" s="6" t="s">
        <v>36</v>
      </c>
      <c r="D114" s="2">
        <v>617740218277</v>
      </c>
      <c r="E114" s="1" t="s">
        <v>160</v>
      </c>
      <c r="F114" s="5">
        <v>0</v>
      </c>
      <c r="G114" s="5">
        <v>2000</v>
      </c>
      <c r="H114" s="1" t="s">
        <v>188</v>
      </c>
    </row>
    <row r="115" spans="2:8" x14ac:dyDescent="0.25">
      <c r="B115" s="6" t="s">
        <v>36</v>
      </c>
      <c r="C115" s="6" t="s">
        <v>36</v>
      </c>
      <c r="D115" s="2">
        <v>617740290718</v>
      </c>
      <c r="E115" s="1" t="s">
        <v>161</v>
      </c>
      <c r="F115" s="5">
        <v>0</v>
      </c>
      <c r="G115" s="5">
        <v>4000</v>
      </c>
      <c r="H115" s="1" t="s">
        <v>188</v>
      </c>
    </row>
    <row r="116" spans="2:8" x14ac:dyDescent="0.25">
      <c r="B116" s="6" t="s">
        <v>36</v>
      </c>
      <c r="C116" s="6" t="s">
        <v>36</v>
      </c>
      <c r="D116" s="2">
        <v>131747354118</v>
      </c>
      <c r="E116" s="1" t="s">
        <v>162</v>
      </c>
      <c r="F116" s="5">
        <v>0</v>
      </c>
      <c r="G116" s="5">
        <v>2000</v>
      </c>
      <c r="H116" s="1" t="s">
        <v>188</v>
      </c>
    </row>
    <row r="117" spans="2:8" x14ac:dyDescent="0.25">
      <c r="B117" s="6" t="s">
        <v>36</v>
      </c>
      <c r="C117" s="6" t="s">
        <v>36</v>
      </c>
      <c r="D117" s="2">
        <v>131853556640</v>
      </c>
      <c r="E117" s="1" t="s">
        <v>163</v>
      </c>
      <c r="F117" s="5">
        <v>0</v>
      </c>
      <c r="G117" s="5">
        <v>1000</v>
      </c>
      <c r="H117" s="1" t="s">
        <v>188</v>
      </c>
    </row>
    <row r="118" spans="2:8" x14ac:dyDescent="0.25">
      <c r="B118" s="6" t="s">
        <v>36</v>
      </c>
      <c r="C118" s="6" t="s">
        <v>36</v>
      </c>
      <c r="D118" s="2">
        <v>617706046740</v>
      </c>
      <c r="E118" s="1" t="s">
        <v>164</v>
      </c>
      <c r="F118" s="5">
        <v>0</v>
      </c>
      <c r="G118" s="5">
        <v>2000</v>
      </c>
      <c r="H118" s="1" t="s">
        <v>188</v>
      </c>
    </row>
    <row r="119" spans="2:8" x14ac:dyDescent="0.25">
      <c r="B119" s="6" t="s">
        <v>36</v>
      </c>
      <c r="C119" s="6" t="s">
        <v>36</v>
      </c>
      <c r="D119" s="2">
        <v>617722375573</v>
      </c>
      <c r="E119" s="1" t="s">
        <v>165</v>
      </c>
      <c r="F119" s="5">
        <v>0</v>
      </c>
      <c r="G119" s="5">
        <v>1000</v>
      </c>
      <c r="H119" s="1" t="s">
        <v>188</v>
      </c>
    </row>
    <row r="120" spans="2:8" x14ac:dyDescent="0.25">
      <c r="B120" s="6" t="s">
        <v>36</v>
      </c>
      <c r="C120" s="6" t="s">
        <v>36</v>
      </c>
      <c r="D120" s="2">
        <v>125335132738</v>
      </c>
      <c r="E120" s="1" t="s">
        <v>166</v>
      </c>
      <c r="F120" s="5">
        <v>0</v>
      </c>
      <c r="G120" s="5">
        <v>3200</v>
      </c>
      <c r="H120" s="1" t="s">
        <v>188</v>
      </c>
    </row>
    <row r="121" spans="2:8" x14ac:dyDescent="0.25">
      <c r="B121" s="6" t="s">
        <v>36</v>
      </c>
      <c r="C121" s="6" t="s">
        <v>36</v>
      </c>
      <c r="D121" s="2">
        <v>617716656380</v>
      </c>
      <c r="E121" s="1" t="s">
        <v>167</v>
      </c>
      <c r="F121" s="5">
        <v>10</v>
      </c>
      <c r="G121" s="5">
        <v>0</v>
      </c>
      <c r="H121" s="1" t="s">
        <v>188</v>
      </c>
    </row>
    <row r="122" spans="2:8" x14ac:dyDescent="0.25">
      <c r="B122" s="6" t="s">
        <v>37</v>
      </c>
      <c r="C122" s="6" t="s">
        <v>37</v>
      </c>
      <c r="D122" s="2">
        <v>654448409442</v>
      </c>
      <c r="E122" s="1" t="s">
        <v>168</v>
      </c>
      <c r="F122" s="5">
        <v>0</v>
      </c>
      <c r="G122" s="5">
        <v>3600</v>
      </c>
      <c r="H122" s="1" t="s">
        <v>188</v>
      </c>
    </row>
    <row r="123" spans="2:8" x14ac:dyDescent="0.25">
      <c r="B123" s="6" t="s">
        <v>38</v>
      </c>
      <c r="C123" s="6" t="s">
        <v>38</v>
      </c>
      <c r="D123" s="2" t="s">
        <v>12</v>
      </c>
      <c r="E123" s="1" t="s">
        <v>169</v>
      </c>
      <c r="F123" s="5">
        <v>78.58</v>
      </c>
      <c r="G123" s="5">
        <v>0</v>
      </c>
      <c r="H123" s="1" t="s">
        <v>192</v>
      </c>
    </row>
    <row r="124" spans="2:8" x14ac:dyDescent="0.25">
      <c r="B124" s="6" t="s">
        <v>39</v>
      </c>
      <c r="C124" s="6" t="s">
        <v>39</v>
      </c>
      <c r="D124" s="2">
        <v>618099026541</v>
      </c>
      <c r="E124" s="1" t="s">
        <v>170</v>
      </c>
      <c r="F124" s="5">
        <v>0</v>
      </c>
      <c r="G124" s="5">
        <v>2600</v>
      </c>
      <c r="H124" s="1" t="s">
        <v>188</v>
      </c>
    </row>
    <row r="125" spans="2:8" x14ac:dyDescent="0.25">
      <c r="B125" s="6" t="s">
        <v>39</v>
      </c>
      <c r="C125" s="6" t="s">
        <v>39</v>
      </c>
      <c r="D125" s="2">
        <v>618044845088</v>
      </c>
      <c r="E125" s="1" t="s">
        <v>171</v>
      </c>
      <c r="F125" s="5">
        <v>0</v>
      </c>
      <c r="G125" s="5">
        <v>2500</v>
      </c>
      <c r="H125" s="1" t="s">
        <v>188</v>
      </c>
    </row>
    <row r="126" spans="2:8" x14ac:dyDescent="0.25">
      <c r="B126" s="6" t="s">
        <v>39</v>
      </c>
      <c r="C126" s="6" t="s">
        <v>39</v>
      </c>
      <c r="D126" s="2">
        <v>618097643071</v>
      </c>
      <c r="E126" s="1" t="s">
        <v>172</v>
      </c>
      <c r="F126" s="5">
        <v>0</v>
      </c>
      <c r="G126" s="5">
        <v>5575</v>
      </c>
      <c r="H126" s="1" t="s">
        <v>188</v>
      </c>
    </row>
    <row r="127" spans="2:8" x14ac:dyDescent="0.25">
      <c r="B127" s="6" t="s">
        <v>39</v>
      </c>
      <c r="C127" s="6" t="s">
        <v>39</v>
      </c>
      <c r="D127" s="2" t="s">
        <v>53</v>
      </c>
      <c r="E127" s="1" t="s">
        <v>173</v>
      </c>
      <c r="F127" s="5">
        <v>0</v>
      </c>
      <c r="G127" s="5">
        <v>6500</v>
      </c>
      <c r="H127" s="1" t="s">
        <v>192</v>
      </c>
    </row>
    <row r="128" spans="2:8" x14ac:dyDescent="0.25">
      <c r="B128" s="6" t="s">
        <v>39</v>
      </c>
      <c r="C128" s="6" t="s">
        <v>39</v>
      </c>
      <c r="D128" s="2">
        <v>495041213922</v>
      </c>
      <c r="E128" s="1" t="s">
        <v>174</v>
      </c>
      <c r="F128" s="5">
        <v>0</v>
      </c>
      <c r="G128" s="5">
        <v>2500</v>
      </c>
      <c r="H128" s="1" t="s">
        <v>188</v>
      </c>
    </row>
    <row r="129" spans="2:8" x14ac:dyDescent="0.25">
      <c r="B129" s="6" t="s">
        <v>39</v>
      </c>
      <c r="C129" s="6" t="s">
        <v>39</v>
      </c>
      <c r="D129" s="2">
        <v>618043476092</v>
      </c>
      <c r="E129" s="1" t="s">
        <v>175</v>
      </c>
      <c r="F129" s="5">
        <v>3000</v>
      </c>
      <c r="G129" s="5">
        <v>0</v>
      </c>
      <c r="H129" s="1" t="s">
        <v>188</v>
      </c>
    </row>
    <row r="130" spans="2:8" x14ac:dyDescent="0.25">
      <c r="B130" s="6" t="s">
        <v>40</v>
      </c>
      <c r="C130" s="6" t="s">
        <v>40</v>
      </c>
      <c r="D130" s="2">
        <v>125523680401</v>
      </c>
      <c r="E130" s="1" t="s">
        <v>176</v>
      </c>
      <c r="F130" s="5">
        <v>0</v>
      </c>
      <c r="G130" s="5">
        <v>2000</v>
      </c>
      <c r="H130" s="1" t="s">
        <v>188</v>
      </c>
    </row>
    <row r="131" spans="2:8" x14ac:dyDescent="0.25">
      <c r="B131" s="6" t="s">
        <v>40</v>
      </c>
      <c r="C131" s="6" t="s">
        <v>40</v>
      </c>
      <c r="D131" s="2">
        <v>125523691129</v>
      </c>
      <c r="E131" s="1" t="s">
        <v>177</v>
      </c>
      <c r="F131" s="5">
        <v>0</v>
      </c>
      <c r="G131" s="5">
        <v>750</v>
      </c>
      <c r="H131" s="1" t="s">
        <v>188</v>
      </c>
    </row>
    <row r="132" spans="2:8" x14ac:dyDescent="0.25">
      <c r="B132" s="6" t="s">
        <v>40</v>
      </c>
      <c r="C132" s="6" t="s">
        <v>40</v>
      </c>
      <c r="D132" s="2">
        <v>654716607047</v>
      </c>
      <c r="E132" s="1" t="s">
        <v>178</v>
      </c>
      <c r="F132" s="5">
        <v>0</v>
      </c>
      <c r="G132" s="5">
        <v>6250</v>
      </c>
      <c r="H132" s="1" t="s">
        <v>188</v>
      </c>
    </row>
    <row r="133" spans="2:8" x14ac:dyDescent="0.25">
      <c r="B133" s="6" t="s">
        <v>40</v>
      </c>
      <c r="C133" s="6" t="s">
        <v>40</v>
      </c>
      <c r="D133" s="2">
        <v>654741325115</v>
      </c>
      <c r="E133" s="1" t="s">
        <v>179</v>
      </c>
      <c r="F133" s="5">
        <v>0</v>
      </c>
      <c r="G133" s="5">
        <v>2500</v>
      </c>
      <c r="H133" s="1" t="s">
        <v>188</v>
      </c>
    </row>
    <row r="134" spans="2:8" x14ac:dyDescent="0.25">
      <c r="B134" s="6" t="s">
        <v>40</v>
      </c>
      <c r="C134" s="6" t="s">
        <v>40</v>
      </c>
      <c r="D134" s="2">
        <v>654709838838</v>
      </c>
      <c r="E134" s="1" t="s">
        <v>180</v>
      </c>
      <c r="F134" s="5">
        <v>0</v>
      </c>
      <c r="G134" s="5">
        <v>2000</v>
      </c>
      <c r="H134" s="1" t="s">
        <v>188</v>
      </c>
    </row>
    <row r="135" spans="2:8" x14ac:dyDescent="0.25">
      <c r="B135" s="6" t="s">
        <v>40</v>
      </c>
      <c r="C135" s="6" t="s">
        <v>40</v>
      </c>
      <c r="D135" s="2">
        <v>654751346557</v>
      </c>
      <c r="E135" s="1" t="s">
        <v>181</v>
      </c>
      <c r="F135" s="5">
        <v>0</v>
      </c>
      <c r="G135" s="5">
        <v>1100</v>
      </c>
      <c r="H135" s="1" t="s">
        <v>188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CA Jaykishan Jagad</cp:lastModifiedBy>
  <dcterms:created xsi:type="dcterms:W3CDTF">2024-09-12T12:50:00Z</dcterms:created>
  <dcterms:modified xsi:type="dcterms:W3CDTF">2026-07-20T13:00:57Z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6B0662DAE6F548DF8F96521D6EF25C4E_12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r8>0</vt:r8>
  </property>
</Properties>
</file>