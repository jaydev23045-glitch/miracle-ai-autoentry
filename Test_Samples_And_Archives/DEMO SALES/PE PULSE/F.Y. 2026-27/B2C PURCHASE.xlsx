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E PULSE/F.Y. 2026-27/JULY-26/"/>
    </mc:Choice>
  </mc:AlternateContent>
  <xr:revisionPtr revIDLastSave="0" documentId="8_{68681FAF-BB1C-42EA-B357-EE8266052E8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urchase Report" sheetId="1" r:id="rId1"/>
    <sheet name="Purchase Items" sheetId="2" r:id="rId2"/>
    <sheet name="B2B" sheetId="4" r:id="rId3"/>
    <sheet name="B2C" sheetId="5" r:id="rId4"/>
    <sheet name="CASH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4" l="1"/>
  <c r="M5" i="5"/>
  <c r="K5" i="5"/>
  <c r="I5" i="5"/>
  <c r="G5" i="5"/>
  <c r="M3" i="5"/>
  <c r="K3" i="5"/>
  <c r="I3" i="5"/>
  <c r="G3" i="5"/>
  <c r="M46" i="4"/>
  <c r="K46" i="4"/>
  <c r="I46" i="4"/>
  <c r="G46" i="4"/>
  <c r="M44" i="4"/>
  <c r="K44" i="4"/>
  <c r="I44" i="4"/>
  <c r="G44" i="4"/>
</calcChain>
</file>

<file path=xl/sharedStrings.xml><?xml version="1.0" encoding="utf-8"?>
<sst xmlns="http://schemas.openxmlformats.org/spreadsheetml/2006/main" count="1013" uniqueCount="185">
  <si>
    <t>Generated on Aug 08,2026 at 09:19 AM</t>
  </si>
  <si>
    <t>Date</t>
  </si>
  <si>
    <t>Party Name</t>
  </si>
  <si>
    <t>Party's GSTIN No.</t>
  </si>
  <si>
    <t>Order No.</t>
  </si>
  <si>
    <t>Bill No.</t>
  </si>
  <si>
    <t>Transaction Type</t>
  </si>
  <si>
    <t>Total Amount</t>
  </si>
  <si>
    <t>Payment Type</t>
  </si>
  <si>
    <t>Paid Amount</t>
  </si>
  <si>
    <t>Balance Amount</t>
  </si>
  <si>
    <t>Description</t>
  </si>
  <si>
    <t>29/07/2026</t>
  </si>
  <si>
    <t>SSR Footcare</t>
  </si>
  <si>
    <t>33APSPD9984R3ZM</t>
  </si>
  <si>
    <t>1403</t>
  </si>
  <si>
    <t>Purchase</t>
  </si>
  <si>
    <t>1890.00</t>
  </si>
  <si>
    <t>Pe Pulse Private Limited</t>
  </si>
  <si>
    <t>0.00</t>
  </si>
  <si>
    <t>1404</t>
  </si>
  <si>
    <t>2940.00</t>
  </si>
  <si>
    <t>27/07/2026</t>
  </si>
  <si>
    <t>1391</t>
  </si>
  <si>
    <t>1392</t>
  </si>
  <si>
    <t>25/07/2026</t>
  </si>
  <si>
    <t>1390</t>
  </si>
  <si>
    <t>23/07/2026</t>
  </si>
  <si>
    <t>1379</t>
  </si>
  <si>
    <t>2100.00</t>
  </si>
  <si>
    <t>1380</t>
  </si>
  <si>
    <t>3150.00</t>
  </si>
  <si>
    <t>1381</t>
  </si>
  <si>
    <t>1382</t>
  </si>
  <si>
    <t>3990.00</t>
  </si>
  <si>
    <t>1383</t>
  </si>
  <si>
    <t>4725.00</t>
  </si>
  <si>
    <t>1384</t>
  </si>
  <si>
    <t>1385</t>
  </si>
  <si>
    <t>2625.00</t>
  </si>
  <si>
    <t>Elite diagnostic</t>
  </si>
  <si>
    <t>238</t>
  </si>
  <si>
    <t>39000.05</t>
  </si>
  <si>
    <t>22/07/2026</t>
  </si>
  <si>
    <t>1378</t>
  </si>
  <si>
    <t>21/07/2026</t>
  </si>
  <si>
    <t>1374</t>
  </si>
  <si>
    <t>1375</t>
  </si>
  <si>
    <t>2730.00</t>
  </si>
  <si>
    <t>1376</t>
  </si>
  <si>
    <t>1377</t>
  </si>
  <si>
    <t>17/07/2026</t>
  </si>
  <si>
    <t>1302</t>
  </si>
  <si>
    <t>1301</t>
  </si>
  <si>
    <t>1300</t>
  </si>
  <si>
    <t>16/07/2026</t>
  </si>
  <si>
    <t>1299</t>
  </si>
  <si>
    <t>5880.00</t>
  </si>
  <si>
    <t>15/07/2026</t>
  </si>
  <si>
    <t>1298</t>
  </si>
  <si>
    <t>13/07/2026</t>
  </si>
  <si>
    <t>1126</t>
  </si>
  <si>
    <t>11130.00</t>
  </si>
  <si>
    <t>1297</t>
  </si>
  <si>
    <t>1296</t>
  </si>
  <si>
    <t>09/07/2026</t>
  </si>
  <si>
    <t>1295</t>
  </si>
  <si>
    <t>08/07/2026</t>
  </si>
  <si>
    <t>1994</t>
  </si>
  <si>
    <t>1293</t>
  </si>
  <si>
    <t>1292</t>
  </si>
  <si>
    <t>6930.00</t>
  </si>
  <si>
    <t>1291</t>
  </si>
  <si>
    <t>07/07/2026</t>
  </si>
  <si>
    <t>1290</t>
  </si>
  <si>
    <t>06/07/2026</t>
  </si>
  <si>
    <t>1303</t>
  </si>
  <si>
    <t>01/07/2026</t>
  </si>
  <si>
    <t>1289</t>
  </si>
  <si>
    <t>5250.00</t>
  </si>
  <si>
    <t>1288</t>
  </si>
  <si>
    <t>5040.00</t>
  </si>
  <si>
    <t>1287</t>
  </si>
  <si>
    <t>1286</t>
  </si>
  <si>
    <t>Total</t>
  </si>
  <si>
    <t>161010.04</t>
  </si>
  <si>
    <t>105000.00</t>
  </si>
  <si>
    <t>56010.05</t>
  </si>
  <si>
    <t>Invoice No.</t>
  </si>
  <si>
    <t>Item Name</t>
  </si>
  <si>
    <t>Item code</t>
  </si>
  <si>
    <t>HSN/SAC</t>
  </si>
  <si>
    <t>Quantity</t>
  </si>
  <si>
    <t>Unit</t>
  </si>
  <si>
    <t>Price/Unit</t>
  </si>
  <si>
    <t>Discount</t>
  </si>
  <si>
    <t>GST</t>
  </si>
  <si>
    <t>Amount</t>
  </si>
  <si>
    <t>Suchita kuthe</t>
  </si>
  <si>
    <t>9021</t>
  </si>
  <si>
    <t>1.0</t>
  </si>
  <si>
    <t>1800.00</t>
  </si>
  <si>
    <t>0.00(0.0%)</t>
  </si>
  <si>
    <t>90.00(5.0%)</t>
  </si>
  <si>
    <t>Cmf Pramod Desai</t>
  </si>
  <si>
    <t>2800.00</t>
  </si>
  <si>
    <t>140.00(5.0%)</t>
  </si>
  <si>
    <t>Cmf Bharti Uppati</t>
  </si>
  <si>
    <t>Cmf Ahoratra Polepalli</t>
  </si>
  <si>
    <t>Asma Matkar CMF</t>
  </si>
  <si>
    <t>Cmf Radhika seth</t>
  </si>
  <si>
    <t>2000.00</t>
  </si>
  <si>
    <t>100.00(5.0%)</t>
  </si>
  <si>
    <t>Veronica cmf</t>
  </si>
  <si>
    <t>3000.00</t>
  </si>
  <si>
    <t>150.00(5.0%)</t>
  </si>
  <si>
    <t>HINDFOOT WEDGE</t>
  </si>
  <si>
    <t>Cmf Pradip Karnar</t>
  </si>
  <si>
    <t>3800.00</t>
  </si>
  <si>
    <t>190.00(5.0%)</t>
  </si>
  <si>
    <t>Cmf Shirin shaikh</t>
  </si>
  <si>
    <t>2500.00</t>
  </si>
  <si>
    <t>125.00(5.0%)</t>
  </si>
  <si>
    <t>Cmf Nandini Kelkar</t>
  </si>
  <si>
    <t>Cmf Vishnu Kubal</t>
  </si>
  <si>
    <t>I can i3 Sinocare</t>
  </si>
  <si>
    <t>90189099</t>
  </si>
  <si>
    <t>10.0</t>
  </si>
  <si>
    <t>3714.29</t>
  </si>
  <si>
    <t>1857.15(5.0%)</t>
  </si>
  <si>
    <t>Varsha Chattbhar</t>
  </si>
  <si>
    <t>Cmf ortho footwear ( Suyash Lahri)</t>
  </si>
  <si>
    <t>Cmf Inder Talreja</t>
  </si>
  <si>
    <t>2600.00</t>
  </si>
  <si>
    <t>130.00(5.0%)</t>
  </si>
  <si>
    <t>Cmf aarohi</t>
  </si>
  <si>
    <t>Cmf Shivdas bhavsar</t>
  </si>
  <si>
    <t>Cmf Tarun Seth</t>
  </si>
  <si>
    <t>Aasha pingalkar</t>
  </si>
  <si>
    <t>Cmf Yogendra Doke</t>
  </si>
  <si>
    <t>2.0</t>
  </si>
  <si>
    <t>280.00(5.0%)</t>
  </si>
  <si>
    <t>Rizwan Qureshi cmf</t>
  </si>
  <si>
    <t>COMFIT MCP 7 ORTHOTICS FOOTWEAR</t>
  </si>
  <si>
    <t>38643484136</t>
  </si>
  <si>
    <t>9120</t>
  </si>
  <si>
    <t>900.00</t>
  </si>
  <si>
    <t>COMFIT MCP 8 ORTHOTICS FOOTWEAR</t>
  </si>
  <si>
    <t>38696080891</t>
  </si>
  <si>
    <t>COMFIT MCP 9 ORTHOTICS FOOTWEAR</t>
  </si>
  <si>
    <t>38652994544</t>
  </si>
  <si>
    <t>COMFIT MCP10 ORTHOTICS FOOTWEAR</t>
  </si>
  <si>
    <t>38644672509</t>
  </si>
  <si>
    <t>JASMINE MCP 6 ORTHOTICS FOOTWEAR</t>
  </si>
  <si>
    <t>3862230981</t>
  </si>
  <si>
    <t>850.00</t>
  </si>
  <si>
    <t>85.00(5.0%)</t>
  </si>
  <si>
    <t>1785.00</t>
  </si>
  <si>
    <t>JASMINE MCP 7 ORTHOTICS FOOTWEAR</t>
  </si>
  <si>
    <t>38642073250</t>
  </si>
  <si>
    <t>Smita Surve</t>
  </si>
  <si>
    <t>Sherbanu Khãtrí</t>
  </si>
  <si>
    <t>Rehana khan</t>
  </si>
  <si>
    <t>Nirmala parekh</t>
  </si>
  <si>
    <t>Cmf Minaxi mehta</t>
  </si>
  <si>
    <t>Cmf Mihir Oza</t>
  </si>
  <si>
    <t>3300.00</t>
  </si>
  <si>
    <t>330.00(5.0%)</t>
  </si>
  <si>
    <t>Pushpa mirchandani</t>
  </si>
  <si>
    <t>Gulabrao nimbalkar</t>
  </si>
  <si>
    <t>9821</t>
  </si>
  <si>
    <t>Cmf ram Kunbi</t>
  </si>
  <si>
    <t>250.00(5.0%)</t>
  </si>
  <si>
    <t>Cmf Sadanand sonavne</t>
  </si>
  <si>
    <t>4800.00</t>
  </si>
  <si>
    <t>240.00(5.0%)</t>
  </si>
  <si>
    <t>Cmf Sonali Patnayak</t>
  </si>
  <si>
    <t>Cmf Ankita mhatre</t>
  </si>
  <si>
    <t>Bill/Invoice No.</t>
  </si>
  <si>
    <t>Discount Amount</t>
  </si>
  <si>
    <t>Discount %</t>
  </si>
  <si>
    <t>GST Amount</t>
  </si>
  <si>
    <t>GST %</t>
  </si>
  <si>
    <t>Total for GST 5%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</si>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</sst>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E6C9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FEBA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wrapText="1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1" xfId="0" applyFont="1" applyBorder="1"/>
    <xf numFmtId="0" fontId="1" fillId="0" borderId="2" xfId="0" applyFont="1" applyBorder="1"/>
    <xf numFmtId="164" fontId="1" fillId="2" borderId="0" xfId="0" applyNumberFormat="1" applyFont="1" applyFill="1"/>
    <xf numFmtId="164" fontId="0" fillId="0" borderId="0" xfId="0" applyNumberFormat="1"/>
    <xf numFmtId="164" fontId="1" fillId="0" borderId="1" xfId="0" applyNumberFormat="1" applyFont="1" applyBorder="1"/>
    <xf numFmtId="164" fontId="1" fillId="0" borderId="2" xfId="0" applyNumberFormat="1" applyFont="1" applyBorder="1"/>
    <xf numFmtId="2" fontId="1" fillId="2" borderId="0" xfId="0" applyNumberFormat="1" applyFont="1" applyFill="1"/>
    <xf numFmtId="2" fontId="0" fillId="0" borderId="0" xfId="0" applyNumberFormat="1"/>
    <xf numFmtId="2" fontId="1" fillId="0" borderId="1" xfId="0" applyNumberFormat="1" applyFont="1" applyBorder="1"/>
    <xf numFmtId="2" fontId="1" fillId="0" borderId="2" xfId="0" applyNumberFormat="1" applyFont="1" applyBorder="1"/>
    <xf numFmtId="164" fontId="1" fillId="3" borderId="0" xfId="0" applyNumberFormat="1" applyFont="1" applyFill="1"/>
    <xf numFmtId="2" fontId="1" fillId="3" borderId="0" xfId="0" applyNumberFormat="1" applyFont="1" applyFill="1"/>
    <xf numFmtId="164" fontId="1" fillId="4" borderId="0" xfId="0" applyNumberFormat="1" applyFont="1" applyFill="1"/>
    <xf numFmtId="2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3"/>
  <sheetViews>
    <sheetView topLeftCell="A28" workbookViewId="0">
      <selection activeCell="G5" sqref="G5:G41"/>
    </sheetView>
  </sheetViews>
  <sheetFormatPr defaultRowHeight="15" x14ac:dyDescent="0.25"/>
  <cols>
    <col min="1" max="11" width="16.7109375" customWidth="1"/>
  </cols>
  <sheetData>
    <row r="1" spans="1:11" ht="45" x14ac:dyDescent="0.25">
      <c r="A1" s="1" t="s">
        <v>0</v>
      </c>
    </row>
    <row r="3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5" spans="1:11" ht="30" x14ac:dyDescent="0.25">
      <c r="A5" s="1" t="s">
        <v>12</v>
      </c>
      <c r="B5" s="1" t="s">
        <v>13</v>
      </c>
      <c r="C5" s="1" t="s">
        <v>14</v>
      </c>
      <c r="D5" s="1"/>
      <c r="E5" s="1" t="s">
        <v>15</v>
      </c>
      <c r="F5" s="1" t="s">
        <v>16</v>
      </c>
      <c r="G5" s="3" t="s">
        <v>17</v>
      </c>
      <c r="H5" s="1" t="s">
        <v>18</v>
      </c>
      <c r="I5" s="3" t="s">
        <v>19</v>
      </c>
      <c r="J5" s="3" t="s">
        <v>17</v>
      </c>
      <c r="K5" s="1"/>
    </row>
    <row r="6" spans="1:11" ht="30" x14ac:dyDescent="0.25">
      <c r="A6" s="1" t="s">
        <v>12</v>
      </c>
      <c r="B6" s="1" t="s">
        <v>13</v>
      </c>
      <c r="C6" s="1" t="s">
        <v>14</v>
      </c>
      <c r="D6" s="1"/>
      <c r="E6" s="1" t="s">
        <v>20</v>
      </c>
      <c r="F6" s="1" t="s">
        <v>16</v>
      </c>
      <c r="G6" s="3" t="s">
        <v>21</v>
      </c>
      <c r="H6" s="1" t="s">
        <v>18</v>
      </c>
      <c r="I6" s="3" t="s">
        <v>21</v>
      </c>
      <c r="J6" s="3" t="s">
        <v>19</v>
      </c>
      <c r="K6" s="1"/>
    </row>
    <row r="7" spans="1:11" ht="30" x14ac:dyDescent="0.25">
      <c r="A7" s="1" t="s">
        <v>22</v>
      </c>
      <c r="B7" s="1" t="s">
        <v>13</v>
      </c>
      <c r="C7" s="1" t="s">
        <v>14</v>
      </c>
      <c r="D7" s="1"/>
      <c r="E7" s="1" t="s">
        <v>23</v>
      </c>
      <c r="F7" s="1" t="s">
        <v>16</v>
      </c>
      <c r="G7" s="3" t="s">
        <v>21</v>
      </c>
      <c r="H7" s="1" t="s">
        <v>18</v>
      </c>
      <c r="I7" s="3" t="s">
        <v>21</v>
      </c>
      <c r="J7" s="3" t="s">
        <v>19</v>
      </c>
      <c r="K7" s="1"/>
    </row>
    <row r="8" spans="1:11" ht="30" x14ac:dyDescent="0.25">
      <c r="A8" s="1" t="s">
        <v>22</v>
      </c>
      <c r="B8" s="1" t="s">
        <v>13</v>
      </c>
      <c r="C8" s="1" t="s">
        <v>14</v>
      </c>
      <c r="D8" s="1"/>
      <c r="E8" s="1" t="s">
        <v>24</v>
      </c>
      <c r="F8" s="1" t="s">
        <v>16</v>
      </c>
      <c r="G8" s="3" t="s">
        <v>21</v>
      </c>
      <c r="H8" s="1" t="s">
        <v>18</v>
      </c>
      <c r="I8" s="3" t="s">
        <v>21</v>
      </c>
      <c r="J8" s="3" t="s">
        <v>19</v>
      </c>
      <c r="K8" s="1"/>
    </row>
    <row r="9" spans="1:11" ht="30" x14ac:dyDescent="0.25">
      <c r="A9" s="1" t="s">
        <v>25</v>
      </c>
      <c r="B9" s="1" t="s">
        <v>13</v>
      </c>
      <c r="C9" s="1" t="s">
        <v>14</v>
      </c>
      <c r="D9" s="1"/>
      <c r="E9" s="1" t="s">
        <v>26</v>
      </c>
      <c r="F9" s="1" t="s">
        <v>16</v>
      </c>
      <c r="G9" s="3" t="s">
        <v>17</v>
      </c>
      <c r="H9" s="1" t="s">
        <v>18</v>
      </c>
      <c r="I9" s="3" t="s">
        <v>17</v>
      </c>
      <c r="J9" s="3" t="s">
        <v>19</v>
      </c>
      <c r="K9" s="1"/>
    </row>
    <row r="10" spans="1:11" ht="30" x14ac:dyDescent="0.25">
      <c r="A10" s="1" t="s">
        <v>27</v>
      </c>
      <c r="B10" s="1" t="s">
        <v>13</v>
      </c>
      <c r="C10" s="1" t="s">
        <v>14</v>
      </c>
      <c r="D10" s="1"/>
      <c r="E10" s="1" t="s">
        <v>28</v>
      </c>
      <c r="F10" s="1" t="s">
        <v>16</v>
      </c>
      <c r="G10" s="3" t="s">
        <v>29</v>
      </c>
      <c r="H10" s="1" t="s">
        <v>18</v>
      </c>
      <c r="I10" s="3" t="s">
        <v>29</v>
      </c>
      <c r="J10" s="3" t="s">
        <v>19</v>
      </c>
      <c r="K10" s="1"/>
    </row>
    <row r="11" spans="1:11" ht="30" x14ac:dyDescent="0.25">
      <c r="A11" s="1" t="s">
        <v>27</v>
      </c>
      <c r="B11" s="1" t="s">
        <v>13</v>
      </c>
      <c r="C11" s="1" t="s">
        <v>14</v>
      </c>
      <c r="D11" s="1"/>
      <c r="E11" s="1" t="s">
        <v>30</v>
      </c>
      <c r="F11" s="1" t="s">
        <v>16</v>
      </c>
      <c r="G11" s="3" t="s">
        <v>31</v>
      </c>
      <c r="H11" s="1" t="s">
        <v>18</v>
      </c>
      <c r="I11" s="3" t="s">
        <v>31</v>
      </c>
      <c r="J11" s="3" t="s">
        <v>19</v>
      </c>
      <c r="K11" s="1"/>
    </row>
    <row r="12" spans="1:11" ht="30" x14ac:dyDescent="0.25">
      <c r="A12" s="1" t="s">
        <v>27</v>
      </c>
      <c r="B12" s="1" t="s">
        <v>13</v>
      </c>
      <c r="C12" s="1" t="s">
        <v>14</v>
      </c>
      <c r="D12" s="1"/>
      <c r="E12" s="1" t="s">
        <v>32</v>
      </c>
      <c r="F12" s="1" t="s">
        <v>16</v>
      </c>
      <c r="G12" s="3" t="s">
        <v>21</v>
      </c>
      <c r="H12" s="1" t="s">
        <v>18</v>
      </c>
      <c r="I12" s="3" t="s">
        <v>21</v>
      </c>
      <c r="J12" s="3" t="s">
        <v>19</v>
      </c>
      <c r="K12" s="1"/>
    </row>
    <row r="13" spans="1:11" ht="30" x14ac:dyDescent="0.25">
      <c r="A13" s="1" t="s">
        <v>27</v>
      </c>
      <c r="B13" s="1" t="s">
        <v>13</v>
      </c>
      <c r="C13" s="1" t="s">
        <v>14</v>
      </c>
      <c r="D13" s="1"/>
      <c r="E13" s="1" t="s">
        <v>33</v>
      </c>
      <c r="F13" s="1" t="s">
        <v>16</v>
      </c>
      <c r="G13" s="3" t="s">
        <v>34</v>
      </c>
      <c r="H13" s="1" t="s">
        <v>18</v>
      </c>
      <c r="I13" s="3" t="s">
        <v>34</v>
      </c>
      <c r="J13" s="3" t="s">
        <v>19</v>
      </c>
      <c r="K13" s="1"/>
    </row>
    <row r="14" spans="1:11" ht="30" x14ac:dyDescent="0.25">
      <c r="A14" s="1" t="s">
        <v>27</v>
      </c>
      <c r="B14" s="1" t="s">
        <v>13</v>
      </c>
      <c r="C14" s="1" t="s">
        <v>14</v>
      </c>
      <c r="D14" s="1"/>
      <c r="E14" s="1" t="s">
        <v>35</v>
      </c>
      <c r="F14" s="1" t="s">
        <v>16</v>
      </c>
      <c r="G14" s="3" t="s">
        <v>36</v>
      </c>
      <c r="H14" s="1" t="s">
        <v>18</v>
      </c>
      <c r="I14" s="3" t="s">
        <v>36</v>
      </c>
      <c r="J14" s="3" t="s">
        <v>19</v>
      </c>
      <c r="K14" s="1"/>
    </row>
    <row r="15" spans="1:11" ht="30" x14ac:dyDescent="0.25">
      <c r="A15" s="1" t="s">
        <v>27</v>
      </c>
      <c r="B15" s="1" t="s">
        <v>13</v>
      </c>
      <c r="C15" s="1" t="s">
        <v>14</v>
      </c>
      <c r="D15" s="1"/>
      <c r="E15" s="1" t="s">
        <v>37</v>
      </c>
      <c r="F15" s="1" t="s">
        <v>16</v>
      </c>
      <c r="G15" s="3" t="s">
        <v>29</v>
      </c>
      <c r="H15" s="1" t="s">
        <v>18</v>
      </c>
      <c r="I15" s="3" t="s">
        <v>29</v>
      </c>
      <c r="J15" s="3" t="s">
        <v>19</v>
      </c>
      <c r="K15" s="1"/>
    </row>
    <row r="16" spans="1:11" ht="30" x14ac:dyDescent="0.25">
      <c r="A16" s="1" t="s">
        <v>27</v>
      </c>
      <c r="B16" s="1" t="s">
        <v>13</v>
      </c>
      <c r="C16" s="1" t="s">
        <v>14</v>
      </c>
      <c r="D16" s="1"/>
      <c r="E16" s="1" t="s">
        <v>38</v>
      </c>
      <c r="F16" s="1" t="s">
        <v>16</v>
      </c>
      <c r="G16" s="3" t="s">
        <v>39</v>
      </c>
      <c r="H16" s="1" t="s">
        <v>18</v>
      </c>
      <c r="I16" s="3" t="s">
        <v>19</v>
      </c>
      <c r="J16" s="3" t="s">
        <v>39</v>
      </c>
      <c r="K16" s="1"/>
    </row>
    <row r="17" spans="1:11" ht="30" x14ac:dyDescent="0.25">
      <c r="A17" s="1" t="s">
        <v>27</v>
      </c>
      <c r="B17" s="1" t="s">
        <v>40</v>
      </c>
      <c r="C17" s="1"/>
      <c r="D17" s="1"/>
      <c r="E17" s="1" t="s">
        <v>41</v>
      </c>
      <c r="F17" s="1" t="s">
        <v>16</v>
      </c>
      <c r="G17" s="3" t="s">
        <v>42</v>
      </c>
      <c r="H17" s="1" t="s">
        <v>18</v>
      </c>
      <c r="I17" s="3" t="s">
        <v>19</v>
      </c>
      <c r="J17" s="3" t="s">
        <v>42</v>
      </c>
      <c r="K17" s="1"/>
    </row>
    <row r="18" spans="1:11" ht="30" x14ac:dyDescent="0.25">
      <c r="A18" s="1" t="s">
        <v>43</v>
      </c>
      <c r="B18" s="1" t="s">
        <v>13</v>
      </c>
      <c r="C18" s="1" t="s">
        <v>14</v>
      </c>
      <c r="D18" s="1"/>
      <c r="E18" s="1" t="s">
        <v>44</v>
      </c>
      <c r="F18" s="1" t="s">
        <v>16</v>
      </c>
      <c r="G18" s="3" t="s">
        <v>29</v>
      </c>
      <c r="H18" s="1" t="s">
        <v>18</v>
      </c>
      <c r="I18" s="3" t="s">
        <v>29</v>
      </c>
      <c r="J18" s="3" t="s">
        <v>19</v>
      </c>
      <c r="K18" s="1"/>
    </row>
    <row r="19" spans="1:11" ht="30" x14ac:dyDescent="0.25">
      <c r="A19" s="1" t="s">
        <v>45</v>
      </c>
      <c r="B19" s="1" t="s">
        <v>13</v>
      </c>
      <c r="C19" s="1" t="s">
        <v>14</v>
      </c>
      <c r="D19" s="1"/>
      <c r="E19" s="1" t="s">
        <v>46</v>
      </c>
      <c r="F19" s="1" t="s">
        <v>16</v>
      </c>
      <c r="G19" s="3" t="s">
        <v>39</v>
      </c>
      <c r="H19" s="1" t="s">
        <v>18</v>
      </c>
      <c r="I19" s="3" t="s">
        <v>39</v>
      </c>
      <c r="J19" s="3" t="s">
        <v>19</v>
      </c>
      <c r="K19" s="1"/>
    </row>
    <row r="20" spans="1:11" ht="30" x14ac:dyDescent="0.25">
      <c r="A20" s="1" t="s">
        <v>45</v>
      </c>
      <c r="B20" s="1" t="s">
        <v>13</v>
      </c>
      <c r="C20" s="1" t="s">
        <v>14</v>
      </c>
      <c r="D20" s="1"/>
      <c r="E20" s="1" t="s">
        <v>47</v>
      </c>
      <c r="F20" s="1" t="s">
        <v>16</v>
      </c>
      <c r="G20" s="3" t="s">
        <v>48</v>
      </c>
      <c r="H20" s="1" t="s">
        <v>18</v>
      </c>
      <c r="I20" s="3" t="s">
        <v>48</v>
      </c>
      <c r="J20" s="3" t="s">
        <v>19</v>
      </c>
      <c r="K20" s="1"/>
    </row>
    <row r="21" spans="1:11" ht="30" x14ac:dyDescent="0.25">
      <c r="A21" s="1" t="s">
        <v>45</v>
      </c>
      <c r="B21" s="1" t="s">
        <v>13</v>
      </c>
      <c r="C21" s="1" t="s">
        <v>14</v>
      </c>
      <c r="D21" s="1"/>
      <c r="E21" s="1" t="s">
        <v>49</v>
      </c>
      <c r="F21" s="1" t="s">
        <v>16</v>
      </c>
      <c r="G21" s="3" t="s">
        <v>31</v>
      </c>
      <c r="H21" s="1" t="s">
        <v>18</v>
      </c>
      <c r="I21" s="3" t="s">
        <v>31</v>
      </c>
      <c r="J21" s="3" t="s">
        <v>19</v>
      </c>
      <c r="K21" s="1"/>
    </row>
    <row r="22" spans="1:11" ht="30" x14ac:dyDescent="0.25">
      <c r="A22" s="1" t="s">
        <v>45</v>
      </c>
      <c r="B22" s="1" t="s">
        <v>13</v>
      </c>
      <c r="C22" s="1" t="s">
        <v>14</v>
      </c>
      <c r="D22" s="1"/>
      <c r="E22" s="1" t="s">
        <v>50</v>
      </c>
      <c r="F22" s="1" t="s">
        <v>16</v>
      </c>
      <c r="G22" s="3" t="s">
        <v>21</v>
      </c>
      <c r="H22" s="1" t="s">
        <v>18</v>
      </c>
      <c r="I22" s="3" t="s">
        <v>21</v>
      </c>
      <c r="J22" s="3" t="s">
        <v>19</v>
      </c>
      <c r="K22" s="1"/>
    </row>
    <row r="23" spans="1:11" ht="30" x14ac:dyDescent="0.25">
      <c r="A23" s="1" t="s">
        <v>51</v>
      </c>
      <c r="B23" s="1" t="s">
        <v>13</v>
      </c>
      <c r="C23" s="1" t="s">
        <v>14</v>
      </c>
      <c r="D23" s="1"/>
      <c r="E23" s="1" t="s">
        <v>52</v>
      </c>
      <c r="F23" s="1" t="s">
        <v>16</v>
      </c>
      <c r="G23" s="3" t="s">
        <v>34</v>
      </c>
      <c r="H23" s="1" t="s">
        <v>18</v>
      </c>
      <c r="I23" s="3" t="s">
        <v>34</v>
      </c>
      <c r="J23" s="3" t="s">
        <v>19</v>
      </c>
      <c r="K23" s="1"/>
    </row>
    <row r="24" spans="1:11" ht="30" x14ac:dyDescent="0.25">
      <c r="A24" s="1" t="s">
        <v>51</v>
      </c>
      <c r="B24" s="1" t="s">
        <v>13</v>
      </c>
      <c r="C24" s="1" t="s">
        <v>14</v>
      </c>
      <c r="D24" s="1"/>
      <c r="E24" s="1" t="s">
        <v>53</v>
      </c>
      <c r="F24" s="1" t="s">
        <v>16</v>
      </c>
      <c r="G24" s="3" t="s">
        <v>31</v>
      </c>
      <c r="H24" s="1" t="s">
        <v>18</v>
      </c>
      <c r="I24" s="3" t="s">
        <v>31</v>
      </c>
      <c r="J24" s="3" t="s">
        <v>19</v>
      </c>
      <c r="K24" s="1"/>
    </row>
    <row r="25" spans="1:11" ht="30" x14ac:dyDescent="0.25">
      <c r="A25" s="1" t="s">
        <v>51</v>
      </c>
      <c r="B25" s="1" t="s">
        <v>13</v>
      </c>
      <c r="C25" s="1" t="s">
        <v>14</v>
      </c>
      <c r="D25" s="1"/>
      <c r="E25" s="1" t="s">
        <v>54</v>
      </c>
      <c r="F25" s="1" t="s">
        <v>16</v>
      </c>
      <c r="G25" s="3" t="s">
        <v>31</v>
      </c>
      <c r="H25" s="1" t="s">
        <v>18</v>
      </c>
      <c r="I25" s="3" t="s">
        <v>31</v>
      </c>
      <c r="J25" s="3" t="s">
        <v>19</v>
      </c>
      <c r="K25" s="1"/>
    </row>
    <row r="26" spans="1:11" ht="30" x14ac:dyDescent="0.25">
      <c r="A26" s="1" t="s">
        <v>55</v>
      </c>
      <c r="B26" s="1" t="s">
        <v>13</v>
      </c>
      <c r="C26" s="1" t="s">
        <v>14</v>
      </c>
      <c r="D26" s="1"/>
      <c r="E26" s="1" t="s">
        <v>56</v>
      </c>
      <c r="F26" s="1" t="s">
        <v>16</v>
      </c>
      <c r="G26" s="3" t="s">
        <v>57</v>
      </c>
      <c r="H26" s="1" t="s">
        <v>18</v>
      </c>
      <c r="I26" s="3" t="s">
        <v>57</v>
      </c>
      <c r="J26" s="3" t="s">
        <v>19</v>
      </c>
      <c r="K26" s="1"/>
    </row>
    <row r="27" spans="1:11" ht="30" x14ac:dyDescent="0.25">
      <c r="A27" s="1" t="s">
        <v>58</v>
      </c>
      <c r="B27" s="1" t="s">
        <v>13</v>
      </c>
      <c r="C27" s="1" t="s">
        <v>14</v>
      </c>
      <c r="D27" s="1"/>
      <c r="E27" s="1" t="s">
        <v>59</v>
      </c>
      <c r="F27" s="1" t="s">
        <v>16</v>
      </c>
      <c r="G27" s="3" t="s">
        <v>29</v>
      </c>
      <c r="H27" s="1" t="s">
        <v>18</v>
      </c>
      <c r="I27" s="3" t="s">
        <v>29</v>
      </c>
      <c r="J27" s="3" t="s">
        <v>19</v>
      </c>
      <c r="K27" s="1"/>
    </row>
    <row r="28" spans="1:11" ht="30" x14ac:dyDescent="0.25">
      <c r="A28" s="1" t="s">
        <v>60</v>
      </c>
      <c r="B28" s="1" t="s">
        <v>13</v>
      </c>
      <c r="C28" s="1" t="s">
        <v>14</v>
      </c>
      <c r="D28" s="1"/>
      <c r="E28" s="1" t="s">
        <v>61</v>
      </c>
      <c r="F28" s="1" t="s">
        <v>16</v>
      </c>
      <c r="G28" s="3" t="s">
        <v>62</v>
      </c>
      <c r="H28" s="1" t="s">
        <v>18</v>
      </c>
      <c r="I28" s="3" t="s">
        <v>62</v>
      </c>
      <c r="J28" s="3" t="s">
        <v>19</v>
      </c>
      <c r="K28" s="1"/>
    </row>
    <row r="29" spans="1:11" ht="30" x14ac:dyDescent="0.25">
      <c r="A29" s="1" t="s">
        <v>60</v>
      </c>
      <c r="B29" s="1" t="s">
        <v>13</v>
      </c>
      <c r="C29" s="1" t="s">
        <v>14</v>
      </c>
      <c r="D29" s="1"/>
      <c r="E29" s="1" t="s">
        <v>63</v>
      </c>
      <c r="F29" s="1" t="s">
        <v>16</v>
      </c>
      <c r="G29" s="3" t="s">
        <v>21</v>
      </c>
      <c r="H29" s="1" t="s">
        <v>18</v>
      </c>
      <c r="I29" s="3" t="s">
        <v>21</v>
      </c>
      <c r="J29" s="3" t="s">
        <v>19</v>
      </c>
      <c r="K29" s="1"/>
    </row>
    <row r="30" spans="1:11" ht="30" x14ac:dyDescent="0.25">
      <c r="A30" s="1" t="s">
        <v>60</v>
      </c>
      <c r="B30" s="1" t="s">
        <v>13</v>
      </c>
      <c r="C30" s="1" t="s">
        <v>14</v>
      </c>
      <c r="D30" s="1"/>
      <c r="E30" s="1" t="s">
        <v>64</v>
      </c>
      <c r="F30" s="1" t="s">
        <v>16</v>
      </c>
      <c r="G30" s="3" t="s">
        <v>39</v>
      </c>
      <c r="H30" s="1" t="s">
        <v>18</v>
      </c>
      <c r="I30" s="3" t="s">
        <v>19</v>
      </c>
      <c r="J30" s="3" t="s">
        <v>39</v>
      </c>
      <c r="K30" s="1"/>
    </row>
    <row r="31" spans="1:11" ht="30" x14ac:dyDescent="0.25">
      <c r="A31" s="1" t="s">
        <v>65</v>
      </c>
      <c r="B31" s="1" t="s">
        <v>13</v>
      </c>
      <c r="C31" s="1" t="s">
        <v>14</v>
      </c>
      <c r="D31" s="1"/>
      <c r="E31" s="1" t="s">
        <v>66</v>
      </c>
      <c r="F31" s="1" t="s">
        <v>16</v>
      </c>
      <c r="G31" s="3" t="s">
        <v>29</v>
      </c>
      <c r="H31" s="1" t="s">
        <v>18</v>
      </c>
      <c r="I31" s="3" t="s">
        <v>29</v>
      </c>
      <c r="J31" s="3" t="s">
        <v>19</v>
      </c>
      <c r="K31" s="1"/>
    </row>
    <row r="32" spans="1:11" ht="30" x14ac:dyDescent="0.25">
      <c r="A32" s="1" t="s">
        <v>67</v>
      </c>
      <c r="B32" s="1" t="s">
        <v>13</v>
      </c>
      <c r="C32" s="1" t="s">
        <v>14</v>
      </c>
      <c r="D32" s="1"/>
      <c r="E32" s="1" t="s">
        <v>68</v>
      </c>
      <c r="F32" s="1" t="s">
        <v>16</v>
      </c>
      <c r="G32" s="3" t="s">
        <v>21</v>
      </c>
      <c r="H32" s="1" t="s">
        <v>18</v>
      </c>
      <c r="I32" s="3" t="s">
        <v>19</v>
      </c>
      <c r="J32" s="3" t="s">
        <v>21</v>
      </c>
      <c r="K32" s="1"/>
    </row>
    <row r="33" spans="1:11" ht="30" x14ac:dyDescent="0.25">
      <c r="A33" s="1" t="s">
        <v>67</v>
      </c>
      <c r="B33" s="1" t="s">
        <v>13</v>
      </c>
      <c r="C33" s="1" t="s">
        <v>14</v>
      </c>
      <c r="D33" s="1"/>
      <c r="E33" s="1" t="s">
        <v>69</v>
      </c>
      <c r="F33" s="1" t="s">
        <v>16</v>
      </c>
      <c r="G33" s="3" t="s">
        <v>21</v>
      </c>
      <c r="H33" s="1" t="s">
        <v>18</v>
      </c>
      <c r="I33" s="3" t="s">
        <v>21</v>
      </c>
      <c r="J33" s="3" t="s">
        <v>19</v>
      </c>
      <c r="K33" s="1"/>
    </row>
    <row r="34" spans="1:11" ht="30" x14ac:dyDescent="0.25">
      <c r="A34" s="1" t="s">
        <v>67</v>
      </c>
      <c r="B34" s="1" t="s">
        <v>13</v>
      </c>
      <c r="C34" s="1" t="s">
        <v>14</v>
      </c>
      <c r="D34" s="1"/>
      <c r="E34" s="1" t="s">
        <v>70</v>
      </c>
      <c r="F34" s="1" t="s">
        <v>16</v>
      </c>
      <c r="G34" s="3" t="s">
        <v>71</v>
      </c>
      <c r="H34" s="1" t="s">
        <v>18</v>
      </c>
      <c r="I34" s="3" t="s">
        <v>71</v>
      </c>
      <c r="J34" s="3" t="s">
        <v>19</v>
      </c>
      <c r="K34" s="1"/>
    </row>
    <row r="35" spans="1:11" ht="30" x14ac:dyDescent="0.25">
      <c r="A35" s="1" t="s">
        <v>67</v>
      </c>
      <c r="B35" s="1" t="s">
        <v>13</v>
      </c>
      <c r="C35" s="1" t="s">
        <v>14</v>
      </c>
      <c r="D35" s="1"/>
      <c r="E35" s="1" t="s">
        <v>72</v>
      </c>
      <c r="F35" s="1" t="s">
        <v>16</v>
      </c>
      <c r="G35" s="3" t="s">
        <v>17</v>
      </c>
      <c r="H35" s="1" t="s">
        <v>18</v>
      </c>
      <c r="I35" s="3" t="s">
        <v>17</v>
      </c>
      <c r="J35" s="3" t="s">
        <v>19</v>
      </c>
      <c r="K35" s="1"/>
    </row>
    <row r="36" spans="1:11" ht="30" x14ac:dyDescent="0.25">
      <c r="A36" s="1" t="s">
        <v>73</v>
      </c>
      <c r="B36" s="1" t="s">
        <v>13</v>
      </c>
      <c r="C36" s="1" t="s">
        <v>14</v>
      </c>
      <c r="D36" s="1"/>
      <c r="E36" s="1" t="s">
        <v>74</v>
      </c>
      <c r="F36" s="1" t="s">
        <v>16</v>
      </c>
      <c r="G36" s="3" t="s">
        <v>21</v>
      </c>
      <c r="H36" s="1" t="s">
        <v>18</v>
      </c>
      <c r="I36" s="3" t="s">
        <v>19</v>
      </c>
      <c r="J36" s="3" t="s">
        <v>21</v>
      </c>
      <c r="K36" s="1"/>
    </row>
    <row r="37" spans="1:11" ht="30" x14ac:dyDescent="0.25">
      <c r="A37" s="1" t="s">
        <v>75</v>
      </c>
      <c r="B37" s="1" t="s">
        <v>13</v>
      </c>
      <c r="C37" s="1" t="s">
        <v>14</v>
      </c>
      <c r="D37" s="1"/>
      <c r="E37" s="1" t="s">
        <v>76</v>
      </c>
      <c r="F37" s="1" t="s">
        <v>16</v>
      </c>
      <c r="G37" s="3" t="s">
        <v>39</v>
      </c>
      <c r="H37" s="1" t="s">
        <v>18</v>
      </c>
      <c r="I37" s="3" t="s">
        <v>39</v>
      </c>
      <c r="J37" s="3" t="s">
        <v>19</v>
      </c>
      <c r="K37" s="1"/>
    </row>
    <row r="38" spans="1:11" ht="30" x14ac:dyDescent="0.25">
      <c r="A38" s="1" t="s">
        <v>77</v>
      </c>
      <c r="B38" s="1" t="s">
        <v>13</v>
      </c>
      <c r="C38" s="1" t="s">
        <v>14</v>
      </c>
      <c r="D38" s="1"/>
      <c r="E38" s="1" t="s">
        <v>78</v>
      </c>
      <c r="F38" s="1" t="s">
        <v>16</v>
      </c>
      <c r="G38" s="3" t="s">
        <v>79</v>
      </c>
      <c r="H38" s="1" t="s">
        <v>18</v>
      </c>
      <c r="I38" s="3" t="s">
        <v>79</v>
      </c>
      <c r="J38" s="3" t="s">
        <v>19</v>
      </c>
      <c r="K38" s="1"/>
    </row>
    <row r="39" spans="1:11" ht="30" x14ac:dyDescent="0.25">
      <c r="A39" s="1" t="s">
        <v>77</v>
      </c>
      <c r="B39" s="1" t="s">
        <v>13</v>
      </c>
      <c r="C39" s="1" t="s">
        <v>14</v>
      </c>
      <c r="D39" s="1"/>
      <c r="E39" s="1" t="s">
        <v>80</v>
      </c>
      <c r="F39" s="1" t="s">
        <v>16</v>
      </c>
      <c r="G39" s="3" t="s">
        <v>81</v>
      </c>
      <c r="H39" s="1" t="s">
        <v>18</v>
      </c>
      <c r="I39" s="3" t="s">
        <v>81</v>
      </c>
      <c r="J39" s="3" t="s">
        <v>19</v>
      </c>
      <c r="K39" s="1"/>
    </row>
    <row r="40" spans="1:11" ht="30" x14ac:dyDescent="0.25">
      <c r="A40" s="1" t="s">
        <v>77</v>
      </c>
      <c r="B40" s="1" t="s">
        <v>13</v>
      </c>
      <c r="C40" s="1" t="s">
        <v>14</v>
      </c>
      <c r="D40" s="1"/>
      <c r="E40" s="1" t="s">
        <v>82</v>
      </c>
      <c r="F40" s="1" t="s">
        <v>16</v>
      </c>
      <c r="G40" s="3" t="s">
        <v>39</v>
      </c>
      <c r="H40" s="1" t="s">
        <v>18</v>
      </c>
      <c r="I40" s="3" t="s">
        <v>39</v>
      </c>
      <c r="J40" s="3" t="s">
        <v>19</v>
      </c>
      <c r="K40" s="1"/>
    </row>
    <row r="41" spans="1:11" ht="30" x14ac:dyDescent="0.25">
      <c r="A41" s="1" t="s">
        <v>77</v>
      </c>
      <c r="B41" s="1" t="s">
        <v>13</v>
      </c>
      <c r="C41" s="1" t="s">
        <v>14</v>
      </c>
      <c r="D41" s="1"/>
      <c r="E41" s="1" t="s">
        <v>83</v>
      </c>
      <c r="F41" s="1" t="s">
        <v>16</v>
      </c>
      <c r="G41" s="3" t="s">
        <v>34</v>
      </c>
      <c r="H41" s="1" t="s">
        <v>18</v>
      </c>
      <c r="I41" s="3" t="s">
        <v>19</v>
      </c>
      <c r="J41" s="3" t="s">
        <v>34</v>
      </c>
      <c r="K41" s="1"/>
    </row>
    <row r="43" spans="1:11" x14ac:dyDescent="0.25">
      <c r="A43" s="1"/>
      <c r="B43" s="1"/>
      <c r="C43" s="1"/>
      <c r="D43" s="1"/>
      <c r="E43" s="1"/>
      <c r="F43" s="4" t="s">
        <v>84</v>
      </c>
      <c r="G43" s="4" t="s">
        <v>85</v>
      </c>
      <c r="H43" s="1"/>
      <c r="I43" s="4" t="s">
        <v>86</v>
      </c>
      <c r="J43" s="4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44"/>
  <sheetViews>
    <sheetView topLeftCell="A7" workbookViewId="0">
      <selection activeCell="H1" sqref="H1"/>
    </sheetView>
  </sheetViews>
  <sheetFormatPr defaultRowHeight="15" x14ac:dyDescent="0.25"/>
  <sheetData>
    <row r="1" spans="1:12" ht="30" x14ac:dyDescent="0.25">
      <c r="A1" s="2" t="s">
        <v>1</v>
      </c>
      <c r="B1" s="2" t="s">
        <v>2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</row>
    <row r="2" spans="1:12" ht="30" x14ac:dyDescent="0.25">
      <c r="A2" s="1" t="s">
        <v>12</v>
      </c>
      <c r="B2" s="1" t="s">
        <v>13</v>
      </c>
      <c r="C2" s="1" t="s">
        <v>15</v>
      </c>
      <c r="D2" s="1" t="s">
        <v>98</v>
      </c>
      <c r="E2" s="1"/>
      <c r="F2" s="1" t="s">
        <v>99</v>
      </c>
      <c r="G2" s="1" t="s">
        <v>100</v>
      </c>
      <c r="H2" s="1"/>
      <c r="I2" s="3" t="s">
        <v>101</v>
      </c>
      <c r="J2" s="3" t="s">
        <v>102</v>
      </c>
      <c r="K2" s="3" t="s">
        <v>103</v>
      </c>
      <c r="L2" s="3" t="s">
        <v>17</v>
      </c>
    </row>
    <row r="3" spans="1:12" ht="45" x14ac:dyDescent="0.25">
      <c r="A3" s="1" t="s">
        <v>12</v>
      </c>
      <c r="B3" s="1" t="s">
        <v>13</v>
      </c>
      <c r="C3" s="1" t="s">
        <v>20</v>
      </c>
      <c r="D3" s="1" t="s">
        <v>104</v>
      </c>
      <c r="E3" s="1"/>
      <c r="F3" s="1" t="s">
        <v>99</v>
      </c>
      <c r="G3" s="1" t="s">
        <v>100</v>
      </c>
      <c r="H3" s="1"/>
      <c r="I3" s="3" t="s">
        <v>105</v>
      </c>
      <c r="J3" s="3" t="s">
        <v>102</v>
      </c>
      <c r="K3" s="3" t="s">
        <v>106</v>
      </c>
      <c r="L3" s="3" t="s">
        <v>21</v>
      </c>
    </row>
    <row r="4" spans="1:12" ht="45" x14ac:dyDescent="0.25">
      <c r="A4" s="1" t="s">
        <v>22</v>
      </c>
      <c r="B4" s="1" t="s">
        <v>13</v>
      </c>
      <c r="C4" s="1" t="s">
        <v>23</v>
      </c>
      <c r="D4" s="1" t="s">
        <v>107</v>
      </c>
      <c r="E4" s="1"/>
      <c r="F4" s="1" t="s">
        <v>99</v>
      </c>
      <c r="G4" s="1" t="s">
        <v>100</v>
      </c>
      <c r="H4" s="1"/>
      <c r="I4" s="3" t="s">
        <v>105</v>
      </c>
      <c r="J4" s="3" t="s">
        <v>102</v>
      </c>
      <c r="K4" s="3" t="s">
        <v>106</v>
      </c>
      <c r="L4" s="3" t="s">
        <v>21</v>
      </c>
    </row>
    <row r="5" spans="1:12" ht="45" x14ac:dyDescent="0.25">
      <c r="A5" s="1" t="s">
        <v>22</v>
      </c>
      <c r="B5" s="1" t="s">
        <v>13</v>
      </c>
      <c r="C5" s="1" t="s">
        <v>24</v>
      </c>
      <c r="D5" s="1" t="s">
        <v>108</v>
      </c>
      <c r="E5" s="1"/>
      <c r="F5" s="1" t="s">
        <v>99</v>
      </c>
      <c r="G5" s="1" t="s">
        <v>100</v>
      </c>
      <c r="H5" s="1"/>
      <c r="I5" s="3" t="s">
        <v>105</v>
      </c>
      <c r="J5" s="3" t="s">
        <v>102</v>
      </c>
      <c r="K5" s="3" t="s">
        <v>106</v>
      </c>
      <c r="L5" s="3" t="s">
        <v>21</v>
      </c>
    </row>
    <row r="6" spans="1:12" ht="45" x14ac:dyDescent="0.25">
      <c r="A6" s="1" t="s">
        <v>25</v>
      </c>
      <c r="B6" s="1" t="s">
        <v>13</v>
      </c>
      <c r="C6" s="1" t="s">
        <v>26</v>
      </c>
      <c r="D6" s="1" t="s">
        <v>109</v>
      </c>
      <c r="E6" s="1"/>
      <c r="F6" s="1" t="s">
        <v>99</v>
      </c>
      <c r="G6" s="1" t="s">
        <v>100</v>
      </c>
      <c r="H6" s="1"/>
      <c r="I6" s="3" t="s">
        <v>101</v>
      </c>
      <c r="J6" s="3" t="s">
        <v>102</v>
      </c>
      <c r="K6" s="3" t="s">
        <v>103</v>
      </c>
      <c r="L6" s="3" t="s">
        <v>17</v>
      </c>
    </row>
    <row r="7" spans="1:12" ht="45" x14ac:dyDescent="0.25">
      <c r="A7" s="1" t="s">
        <v>27</v>
      </c>
      <c r="B7" s="1" t="s">
        <v>13</v>
      </c>
      <c r="C7" s="1" t="s">
        <v>28</v>
      </c>
      <c r="D7" s="1" t="s">
        <v>110</v>
      </c>
      <c r="E7" s="1"/>
      <c r="F7" s="1" t="s">
        <v>99</v>
      </c>
      <c r="G7" s="1" t="s">
        <v>100</v>
      </c>
      <c r="H7" s="1"/>
      <c r="I7" s="3" t="s">
        <v>111</v>
      </c>
      <c r="J7" s="3" t="s">
        <v>102</v>
      </c>
      <c r="K7" s="3" t="s">
        <v>112</v>
      </c>
      <c r="L7" s="3" t="s">
        <v>29</v>
      </c>
    </row>
    <row r="8" spans="1:12" ht="30" x14ac:dyDescent="0.25">
      <c r="A8" s="1" t="s">
        <v>27</v>
      </c>
      <c r="B8" s="1" t="s">
        <v>13</v>
      </c>
      <c r="C8" s="1" t="s">
        <v>30</v>
      </c>
      <c r="D8" s="1" t="s">
        <v>113</v>
      </c>
      <c r="E8" s="1"/>
      <c r="F8" s="1" t="s">
        <v>99</v>
      </c>
      <c r="G8" s="1" t="s">
        <v>100</v>
      </c>
      <c r="H8" s="1"/>
      <c r="I8" s="3" t="s">
        <v>114</v>
      </c>
      <c r="J8" s="3" t="s">
        <v>102</v>
      </c>
      <c r="K8" s="3" t="s">
        <v>115</v>
      </c>
      <c r="L8" s="3" t="s">
        <v>31</v>
      </c>
    </row>
    <row r="9" spans="1:12" ht="45" x14ac:dyDescent="0.25">
      <c r="A9" s="1" t="s">
        <v>27</v>
      </c>
      <c r="B9" s="1" t="s">
        <v>13</v>
      </c>
      <c r="C9" s="1" t="s">
        <v>32</v>
      </c>
      <c r="D9" s="1" t="s">
        <v>116</v>
      </c>
      <c r="E9" s="1"/>
      <c r="F9" s="1" t="s">
        <v>99</v>
      </c>
      <c r="G9" s="1" t="s">
        <v>100</v>
      </c>
      <c r="H9" s="1"/>
      <c r="I9" s="3" t="s">
        <v>105</v>
      </c>
      <c r="J9" s="3" t="s">
        <v>102</v>
      </c>
      <c r="K9" s="3" t="s">
        <v>106</v>
      </c>
      <c r="L9" s="3" t="s">
        <v>21</v>
      </c>
    </row>
    <row r="10" spans="1:12" ht="45" x14ac:dyDescent="0.25">
      <c r="A10" s="1" t="s">
        <v>27</v>
      </c>
      <c r="B10" s="1" t="s">
        <v>13</v>
      </c>
      <c r="C10" s="1" t="s">
        <v>33</v>
      </c>
      <c r="D10" s="1" t="s">
        <v>117</v>
      </c>
      <c r="E10" s="1"/>
      <c r="F10" s="1" t="s">
        <v>99</v>
      </c>
      <c r="G10" s="1" t="s">
        <v>100</v>
      </c>
      <c r="H10" s="1"/>
      <c r="I10" s="3" t="s">
        <v>118</v>
      </c>
      <c r="J10" s="3" t="s">
        <v>102</v>
      </c>
      <c r="K10" s="3" t="s">
        <v>119</v>
      </c>
      <c r="L10" s="3" t="s">
        <v>34</v>
      </c>
    </row>
    <row r="11" spans="1:12" ht="45" x14ac:dyDescent="0.25">
      <c r="A11" s="1" t="s">
        <v>27</v>
      </c>
      <c r="B11" s="1" t="s">
        <v>13</v>
      </c>
      <c r="C11" s="1" t="s">
        <v>35</v>
      </c>
      <c r="D11" s="1" t="s">
        <v>120</v>
      </c>
      <c r="E11" s="1"/>
      <c r="F11" s="1" t="s">
        <v>99</v>
      </c>
      <c r="G11" s="1" t="s">
        <v>100</v>
      </c>
      <c r="H11" s="1"/>
      <c r="I11" s="3" t="s">
        <v>121</v>
      </c>
      <c r="J11" s="3" t="s">
        <v>102</v>
      </c>
      <c r="K11" s="3" t="s">
        <v>122</v>
      </c>
      <c r="L11" s="3" t="s">
        <v>39</v>
      </c>
    </row>
    <row r="12" spans="1:12" ht="45" x14ac:dyDescent="0.25">
      <c r="A12" s="1" t="s">
        <v>27</v>
      </c>
      <c r="B12" s="1" t="s">
        <v>13</v>
      </c>
      <c r="C12" s="1" t="s">
        <v>35</v>
      </c>
      <c r="D12" s="1" t="s">
        <v>120</v>
      </c>
      <c r="E12" s="1"/>
      <c r="F12" s="1" t="s">
        <v>99</v>
      </c>
      <c r="G12" s="1" t="s">
        <v>100</v>
      </c>
      <c r="H12" s="1"/>
      <c r="I12" s="3" t="s">
        <v>111</v>
      </c>
      <c r="J12" s="3" t="s">
        <v>102</v>
      </c>
      <c r="K12" s="3" t="s">
        <v>112</v>
      </c>
      <c r="L12" s="3" t="s">
        <v>29</v>
      </c>
    </row>
    <row r="13" spans="1:12" ht="45" x14ac:dyDescent="0.25">
      <c r="A13" s="1" t="s">
        <v>27</v>
      </c>
      <c r="B13" s="1" t="s">
        <v>13</v>
      </c>
      <c r="C13" s="1" t="s">
        <v>37</v>
      </c>
      <c r="D13" s="1" t="s">
        <v>123</v>
      </c>
      <c r="E13" s="1"/>
      <c r="F13" s="1" t="s">
        <v>99</v>
      </c>
      <c r="G13" s="1" t="s">
        <v>100</v>
      </c>
      <c r="H13" s="1"/>
      <c r="I13" s="3" t="s">
        <v>111</v>
      </c>
      <c r="J13" s="3" t="s">
        <v>102</v>
      </c>
      <c r="K13" s="3" t="s">
        <v>112</v>
      </c>
      <c r="L13" s="3" t="s">
        <v>29</v>
      </c>
    </row>
    <row r="14" spans="1:12" ht="45" x14ac:dyDescent="0.25">
      <c r="A14" s="1" t="s">
        <v>27</v>
      </c>
      <c r="B14" s="1" t="s">
        <v>13</v>
      </c>
      <c r="C14" s="1" t="s">
        <v>38</v>
      </c>
      <c r="D14" s="1" t="s">
        <v>124</v>
      </c>
      <c r="E14" s="1"/>
      <c r="F14" s="1" t="s">
        <v>99</v>
      </c>
      <c r="G14" s="1" t="s">
        <v>100</v>
      </c>
      <c r="H14" s="1"/>
      <c r="I14" s="3" t="s">
        <v>121</v>
      </c>
      <c r="J14" s="3" t="s">
        <v>102</v>
      </c>
      <c r="K14" s="3" t="s">
        <v>122</v>
      </c>
      <c r="L14" s="3" t="s">
        <v>39</v>
      </c>
    </row>
    <row r="15" spans="1:12" ht="45" x14ac:dyDescent="0.25">
      <c r="A15" s="1" t="s">
        <v>27</v>
      </c>
      <c r="B15" s="1" t="s">
        <v>40</v>
      </c>
      <c r="C15" s="1" t="s">
        <v>41</v>
      </c>
      <c r="D15" s="1" t="s">
        <v>125</v>
      </c>
      <c r="E15" s="1"/>
      <c r="F15" s="1" t="s">
        <v>126</v>
      </c>
      <c r="G15" s="1" t="s">
        <v>127</v>
      </c>
      <c r="H15" s="1"/>
      <c r="I15" s="3" t="s">
        <v>128</v>
      </c>
      <c r="J15" s="3" t="s">
        <v>102</v>
      </c>
      <c r="K15" s="3" t="s">
        <v>129</v>
      </c>
      <c r="L15" s="3" t="s">
        <v>42</v>
      </c>
    </row>
    <row r="16" spans="1:12" ht="45" x14ac:dyDescent="0.25">
      <c r="A16" s="1" t="s">
        <v>43</v>
      </c>
      <c r="B16" s="1" t="s">
        <v>13</v>
      </c>
      <c r="C16" s="1" t="s">
        <v>44</v>
      </c>
      <c r="D16" s="1" t="s">
        <v>130</v>
      </c>
      <c r="E16" s="1"/>
      <c r="F16" s="1" t="s">
        <v>99</v>
      </c>
      <c r="G16" s="1" t="s">
        <v>100</v>
      </c>
      <c r="H16" s="1"/>
      <c r="I16" s="3" t="s">
        <v>111</v>
      </c>
      <c r="J16" s="3" t="s">
        <v>102</v>
      </c>
      <c r="K16" s="3" t="s">
        <v>112</v>
      </c>
      <c r="L16" s="3" t="s">
        <v>29</v>
      </c>
    </row>
    <row r="17" spans="1:12" ht="75" x14ac:dyDescent="0.25">
      <c r="A17" s="1" t="s">
        <v>45</v>
      </c>
      <c r="B17" s="1" t="s">
        <v>13</v>
      </c>
      <c r="C17" s="1" t="s">
        <v>46</v>
      </c>
      <c r="D17" s="1" t="s">
        <v>131</v>
      </c>
      <c r="E17" s="1"/>
      <c r="F17" s="1" t="s">
        <v>99</v>
      </c>
      <c r="G17" s="1" t="s">
        <v>100</v>
      </c>
      <c r="H17" s="1"/>
      <c r="I17" s="3" t="s">
        <v>121</v>
      </c>
      <c r="J17" s="3" t="s">
        <v>102</v>
      </c>
      <c r="K17" s="3" t="s">
        <v>122</v>
      </c>
      <c r="L17" s="3" t="s">
        <v>39</v>
      </c>
    </row>
    <row r="18" spans="1:12" ht="45" x14ac:dyDescent="0.25">
      <c r="A18" s="1" t="s">
        <v>45</v>
      </c>
      <c r="B18" s="1" t="s">
        <v>13</v>
      </c>
      <c r="C18" s="1" t="s">
        <v>47</v>
      </c>
      <c r="D18" s="1" t="s">
        <v>132</v>
      </c>
      <c r="E18" s="1"/>
      <c r="F18" s="1" t="s">
        <v>99</v>
      </c>
      <c r="G18" s="1" t="s">
        <v>100</v>
      </c>
      <c r="H18" s="1"/>
      <c r="I18" s="3" t="s">
        <v>133</v>
      </c>
      <c r="J18" s="3" t="s">
        <v>102</v>
      </c>
      <c r="K18" s="3" t="s">
        <v>134</v>
      </c>
      <c r="L18" s="3" t="s">
        <v>48</v>
      </c>
    </row>
    <row r="19" spans="1:12" ht="30" x14ac:dyDescent="0.25">
      <c r="A19" s="1" t="s">
        <v>45</v>
      </c>
      <c r="B19" s="1" t="s">
        <v>13</v>
      </c>
      <c r="C19" s="1" t="s">
        <v>49</v>
      </c>
      <c r="D19" s="1" t="s">
        <v>135</v>
      </c>
      <c r="E19" s="1"/>
      <c r="F19" s="1" t="s">
        <v>99</v>
      </c>
      <c r="G19" s="1" t="s">
        <v>100</v>
      </c>
      <c r="H19" s="1"/>
      <c r="I19" s="3" t="s">
        <v>114</v>
      </c>
      <c r="J19" s="3" t="s">
        <v>102</v>
      </c>
      <c r="K19" s="3" t="s">
        <v>115</v>
      </c>
      <c r="L19" s="3" t="s">
        <v>31</v>
      </c>
    </row>
    <row r="20" spans="1:12" ht="45" x14ac:dyDescent="0.25">
      <c r="A20" s="1" t="s">
        <v>45</v>
      </c>
      <c r="B20" s="1" t="s">
        <v>13</v>
      </c>
      <c r="C20" s="1" t="s">
        <v>50</v>
      </c>
      <c r="D20" s="1" t="s">
        <v>136</v>
      </c>
      <c r="E20" s="1"/>
      <c r="F20" s="1" t="s">
        <v>99</v>
      </c>
      <c r="G20" s="1" t="s">
        <v>100</v>
      </c>
      <c r="H20" s="1"/>
      <c r="I20" s="3" t="s">
        <v>105</v>
      </c>
      <c r="J20" s="3" t="s">
        <v>102</v>
      </c>
      <c r="K20" s="3" t="s">
        <v>106</v>
      </c>
      <c r="L20" s="3" t="s">
        <v>21</v>
      </c>
    </row>
    <row r="21" spans="1:12" ht="45" x14ac:dyDescent="0.25">
      <c r="A21" s="1" t="s">
        <v>51</v>
      </c>
      <c r="B21" s="1" t="s">
        <v>13</v>
      </c>
      <c r="C21" s="1" t="s">
        <v>52</v>
      </c>
      <c r="D21" s="1" t="s">
        <v>137</v>
      </c>
      <c r="E21" s="1"/>
      <c r="F21" s="1" t="s">
        <v>99</v>
      </c>
      <c r="G21" s="1" t="s">
        <v>100</v>
      </c>
      <c r="H21" s="1"/>
      <c r="I21" s="3" t="s">
        <v>118</v>
      </c>
      <c r="J21" s="3" t="s">
        <v>102</v>
      </c>
      <c r="K21" s="3" t="s">
        <v>119</v>
      </c>
      <c r="L21" s="3" t="s">
        <v>34</v>
      </c>
    </row>
    <row r="22" spans="1:12" ht="45" x14ac:dyDescent="0.25">
      <c r="A22" s="1" t="s">
        <v>51</v>
      </c>
      <c r="B22" s="1" t="s">
        <v>13</v>
      </c>
      <c r="C22" s="1" t="s">
        <v>53</v>
      </c>
      <c r="D22" s="1" t="s">
        <v>110</v>
      </c>
      <c r="E22" s="1"/>
      <c r="F22" s="1" t="s">
        <v>99</v>
      </c>
      <c r="G22" s="1" t="s">
        <v>100</v>
      </c>
      <c r="H22" s="1"/>
      <c r="I22" s="3" t="s">
        <v>114</v>
      </c>
      <c r="J22" s="3" t="s">
        <v>102</v>
      </c>
      <c r="K22" s="3" t="s">
        <v>115</v>
      </c>
      <c r="L22" s="3" t="s">
        <v>31</v>
      </c>
    </row>
    <row r="23" spans="1:12" ht="30" x14ac:dyDescent="0.25">
      <c r="A23" s="1" t="s">
        <v>51</v>
      </c>
      <c r="B23" s="1" t="s">
        <v>13</v>
      </c>
      <c r="C23" s="1" t="s">
        <v>54</v>
      </c>
      <c r="D23" s="1" t="s">
        <v>138</v>
      </c>
      <c r="E23" s="1"/>
      <c r="F23" s="1" t="s">
        <v>99</v>
      </c>
      <c r="G23" s="1" t="s">
        <v>100</v>
      </c>
      <c r="H23" s="1"/>
      <c r="I23" s="3" t="s">
        <v>114</v>
      </c>
      <c r="J23" s="3" t="s">
        <v>102</v>
      </c>
      <c r="K23" s="3" t="s">
        <v>115</v>
      </c>
      <c r="L23" s="3" t="s">
        <v>31</v>
      </c>
    </row>
    <row r="24" spans="1:12" ht="45" x14ac:dyDescent="0.25">
      <c r="A24" s="1" t="s">
        <v>55</v>
      </c>
      <c r="B24" s="1" t="s">
        <v>13</v>
      </c>
      <c r="C24" s="1" t="s">
        <v>56</v>
      </c>
      <c r="D24" s="1" t="s">
        <v>139</v>
      </c>
      <c r="E24" s="1"/>
      <c r="F24" s="1" t="s">
        <v>99</v>
      </c>
      <c r="G24" s="1" t="s">
        <v>140</v>
      </c>
      <c r="H24" s="1"/>
      <c r="I24" s="3" t="s">
        <v>105</v>
      </c>
      <c r="J24" s="3" t="s">
        <v>102</v>
      </c>
      <c r="K24" s="3" t="s">
        <v>141</v>
      </c>
      <c r="L24" s="3" t="s">
        <v>57</v>
      </c>
    </row>
    <row r="25" spans="1:12" ht="45" x14ac:dyDescent="0.25">
      <c r="A25" s="1" t="s">
        <v>58</v>
      </c>
      <c r="B25" s="1" t="s">
        <v>13</v>
      </c>
      <c r="C25" s="1" t="s">
        <v>59</v>
      </c>
      <c r="D25" s="1" t="s">
        <v>142</v>
      </c>
      <c r="E25" s="1"/>
      <c r="F25" s="1" t="s">
        <v>99</v>
      </c>
      <c r="G25" s="1" t="s">
        <v>100</v>
      </c>
      <c r="H25" s="1"/>
      <c r="I25" s="3" t="s">
        <v>111</v>
      </c>
      <c r="J25" s="3" t="s">
        <v>102</v>
      </c>
      <c r="K25" s="3" t="s">
        <v>112</v>
      </c>
      <c r="L25" s="3" t="s">
        <v>29</v>
      </c>
    </row>
    <row r="26" spans="1:12" ht="90" x14ac:dyDescent="0.25">
      <c r="A26" s="1" t="s">
        <v>60</v>
      </c>
      <c r="B26" s="1" t="s">
        <v>13</v>
      </c>
      <c r="C26" s="1" t="s">
        <v>61</v>
      </c>
      <c r="D26" s="1" t="s">
        <v>143</v>
      </c>
      <c r="E26" s="1" t="s">
        <v>144</v>
      </c>
      <c r="F26" s="1" t="s">
        <v>145</v>
      </c>
      <c r="G26" s="1" t="s">
        <v>140</v>
      </c>
      <c r="H26" s="1"/>
      <c r="I26" s="3" t="s">
        <v>146</v>
      </c>
      <c r="J26" s="3" t="s">
        <v>102</v>
      </c>
      <c r="K26" s="3" t="s">
        <v>103</v>
      </c>
      <c r="L26" s="3" t="s">
        <v>17</v>
      </c>
    </row>
    <row r="27" spans="1:12" ht="90" x14ac:dyDescent="0.25">
      <c r="A27" s="1" t="s">
        <v>60</v>
      </c>
      <c r="B27" s="1" t="s">
        <v>13</v>
      </c>
      <c r="C27" s="1" t="s">
        <v>61</v>
      </c>
      <c r="D27" s="1" t="s">
        <v>147</v>
      </c>
      <c r="E27" s="1" t="s">
        <v>148</v>
      </c>
      <c r="F27" s="1" t="s">
        <v>145</v>
      </c>
      <c r="G27" s="1" t="s">
        <v>140</v>
      </c>
      <c r="H27" s="1"/>
      <c r="I27" s="3" t="s">
        <v>146</v>
      </c>
      <c r="J27" s="3" t="s">
        <v>102</v>
      </c>
      <c r="K27" s="3" t="s">
        <v>103</v>
      </c>
      <c r="L27" s="3" t="s">
        <v>17</v>
      </c>
    </row>
    <row r="28" spans="1:12" ht="90" x14ac:dyDescent="0.25">
      <c r="A28" s="1" t="s">
        <v>60</v>
      </c>
      <c r="B28" s="1" t="s">
        <v>13</v>
      </c>
      <c r="C28" s="1" t="s">
        <v>61</v>
      </c>
      <c r="D28" s="1" t="s">
        <v>149</v>
      </c>
      <c r="E28" s="1" t="s">
        <v>150</v>
      </c>
      <c r="F28" s="1" t="s">
        <v>145</v>
      </c>
      <c r="G28" s="1" t="s">
        <v>140</v>
      </c>
      <c r="H28" s="1"/>
      <c r="I28" s="3" t="s">
        <v>146</v>
      </c>
      <c r="J28" s="3" t="s">
        <v>102</v>
      </c>
      <c r="K28" s="3" t="s">
        <v>103</v>
      </c>
      <c r="L28" s="3" t="s">
        <v>17</v>
      </c>
    </row>
    <row r="29" spans="1:12" ht="90" x14ac:dyDescent="0.25">
      <c r="A29" s="1" t="s">
        <v>60</v>
      </c>
      <c r="B29" s="1" t="s">
        <v>13</v>
      </c>
      <c r="C29" s="1" t="s">
        <v>61</v>
      </c>
      <c r="D29" s="1" t="s">
        <v>151</v>
      </c>
      <c r="E29" s="1" t="s">
        <v>152</v>
      </c>
      <c r="F29" s="1" t="s">
        <v>145</v>
      </c>
      <c r="G29" s="1" t="s">
        <v>140</v>
      </c>
      <c r="H29" s="1"/>
      <c r="I29" s="3" t="s">
        <v>146</v>
      </c>
      <c r="J29" s="3" t="s">
        <v>102</v>
      </c>
      <c r="K29" s="3" t="s">
        <v>103</v>
      </c>
      <c r="L29" s="3" t="s">
        <v>17</v>
      </c>
    </row>
    <row r="30" spans="1:12" ht="90" x14ac:dyDescent="0.25">
      <c r="A30" s="1" t="s">
        <v>60</v>
      </c>
      <c r="B30" s="1" t="s">
        <v>13</v>
      </c>
      <c r="C30" s="1" t="s">
        <v>61</v>
      </c>
      <c r="D30" s="1" t="s">
        <v>153</v>
      </c>
      <c r="E30" s="1" t="s">
        <v>154</v>
      </c>
      <c r="F30" s="1" t="s">
        <v>145</v>
      </c>
      <c r="G30" s="1" t="s">
        <v>140</v>
      </c>
      <c r="H30" s="1"/>
      <c r="I30" s="3" t="s">
        <v>155</v>
      </c>
      <c r="J30" s="3" t="s">
        <v>102</v>
      </c>
      <c r="K30" s="3" t="s">
        <v>156</v>
      </c>
      <c r="L30" s="3" t="s">
        <v>157</v>
      </c>
    </row>
    <row r="31" spans="1:12" ht="90" x14ac:dyDescent="0.25">
      <c r="A31" s="1" t="s">
        <v>60</v>
      </c>
      <c r="B31" s="1" t="s">
        <v>13</v>
      </c>
      <c r="C31" s="1" t="s">
        <v>61</v>
      </c>
      <c r="D31" s="1" t="s">
        <v>158</v>
      </c>
      <c r="E31" s="1" t="s">
        <v>159</v>
      </c>
      <c r="F31" s="1" t="s">
        <v>145</v>
      </c>
      <c r="G31" s="1" t="s">
        <v>140</v>
      </c>
      <c r="H31" s="1"/>
      <c r="I31" s="3" t="s">
        <v>155</v>
      </c>
      <c r="J31" s="3" t="s">
        <v>102</v>
      </c>
      <c r="K31" s="3" t="s">
        <v>156</v>
      </c>
      <c r="L31" s="3" t="s">
        <v>157</v>
      </c>
    </row>
    <row r="32" spans="1:12" ht="30" x14ac:dyDescent="0.25">
      <c r="A32" s="1" t="s">
        <v>60</v>
      </c>
      <c r="B32" s="1" t="s">
        <v>13</v>
      </c>
      <c r="C32" s="1" t="s">
        <v>63</v>
      </c>
      <c r="D32" s="1" t="s">
        <v>160</v>
      </c>
      <c r="E32" s="1"/>
      <c r="F32" s="1" t="s">
        <v>99</v>
      </c>
      <c r="G32" s="1" t="s">
        <v>100</v>
      </c>
      <c r="H32" s="1"/>
      <c r="I32" s="3" t="s">
        <v>105</v>
      </c>
      <c r="J32" s="3" t="s">
        <v>102</v>
      </c>
      <c r="K32" s="3" t="s">
        <v>106</v>
      </c>
      <c r="L32" s="3" t="s">
        <v>21</v>
      </c>
    </row>
    <row r="33" spans="1:12" ht="30" x14ac:dyDescent="0.25">
      <c r="A33" s="1" t="s">
        <v>60</v>
      </c>
      <c r="B33" s="1" t="s">
        <v>13</v>
      </c>
      <c r="C33" s="1" t="s">
        <v>64</v>
      </c>
      <c r="D33" s="1" t="s">
        <v>161</v>
      </c>
      <c r="E33" s="1"/>
      <c r="F33" s="1" t="s">
        <v>99</v>
      </c>
      <c r="G33" s="1" t="s">
        <v>100</v>
      </c>
      <c r="H33" s="1"/>
      <c r="I33" s="3" t="s">
        <v>121</v>
      </c>
      <c r="J33" s="3" t="s">
        <v>102</v>
      </c>
      <c r="K33" s="3" t="s">
        <v>122</v>
      </c>
      <c r="L33" s="3" t="s">
        <v>39</v>
      </c>
    </row>
    <row r="34" spans="1:12" ht="30" x14ac:dyDescent="0.25">
      <c r="A34" s="1" t="s">
        <v>65</v>
      </c>
      <c r="B34" s="1" t="s">
        <v>13</v>
      </c>
      <c r="C34" s="1" t="s">
        <v>66</v>
      </c>
      <c r="D34" s="1" t="s">
        <v>162</v>
      </c>
      <c r="E34" s="1"/>
      <c r="F34" s="1" t="s">
        <v>99</v>
      </c>
      <c r="G34" s="1" t="s">
        <v>100</v>
      </c>
      <c r="H34" s="1"/>
      <c r="I34" s="3" t="s">
        <v>111</v>
      </c>
      <c r="J34" s="3" t="s">
        <v>102</v>
      </c>
      <c r="K34" s="3" t="s">
        <v>112</v>
      </c>
      <c r="L34" s="3" t="s">
        <v>29</v>
      </c>
    </row>
    <row r="35" spans="1:12" ht="30" x14ac:dyDescent="0.25">
      <c r="A35" s="1" t="s">
        <v>67</v>
      </c>
      <c r="B35" s="1" t="s">
        <v>13</v>
      </c>
      <c r="C35" s="1" t="s">
        <v>68</v>
      </c>
      <c r="D35" s="1" t="s">
        <v>163</v>
      </c>
      <c r="E35" s="1"/>
      <c r="F35" s="1" t="s">
        <v>99</v>
      </c>
      <c r="G35" s="1" t="s">
        <v>100</v>
      </c>
      <c r="H35" s="1"/>
      <c r="I35" s="3" t="s">
        <v>105</v>
      </c>
      <c r="J35" s="3" t="s">
        <v>102</v>
      </c>
      <c r="K35" s="3" t="s">
        <v>106</v>
      </c>
      <c r="L35" s="3" t="s">
        <v>21</v>
      </c>
    </row>
    <row r="36" spans="1:12" ht="45" x14ac:dyDescent="0.25">
      <c r="A36" s="1" t="s">
        <v>67</v>
      </c>
      <c r="B36" s="1" t="s">
        <v>13</v>
      </c>
      <c r="C36" s="1" t="s">
        <v>69</v>
      </c>
      <c r="D36" s="1" t="s">
        <v>164</v>
      </c>
      <c r="E36" s="1"/>
      <c r="F36" s="1" t="s">
        <v>99</v>
      </c>
      <c r="G36" s="1" t="s">
        <v>100</v>
      </c>
      <c r="H36" s="1"/>
      <c r="I36" s="3" t="s">
        <v>105</v>
      </c>
      <c r="J36" s="3" t="s">
        <v>102</v>
      </c>
      <c r="K36" s="3" t="s">
        <v>106</v>
      </c>
      <c r="L36" s="3" t="s">
        <v>21</v>
      </c>
    </row>
    <row r="37" spans="1:12" ht="45" x14ac:dyDescent="0.25">
      <c r="A37" s="1" t="s">
        <v>67</v>
      </c>
      <c r="B37" s="1" t="s">
        <v>13</v>
      </c>
      <c r="C37" s="1" t="s">
        <v>70</v>
      </c>
      <c r="D37" s="1" t="s">
        <v>165</v>
      </c>
      <c r="E37" s="1"/>
      <c r="F37" s="1" t="s">
        <v>99</v>
      </c>
      <c r="G37" s="1" t="s">
        <v>140</v>
      </c>
      <c r="H37" s="1"/>
      <c r="I37" s="3" t="s">
        <v>166</v>
      </c>
      <c r="J37" s="3" t="s">
        <v>102</v>
      </c>
      <c r="K37" s="3" t="s">
        <v>167</v>
      </c>
      <c r="L37" s="3" t="s">
        <v>71</v>
      </c>
    </row>
    <row r="38" spans="1:12" ht="45" x14ac:dyDescent="0.25">
      <c r="A38" s="1" t="s">
        <v>67</v>
      </c>
      <c r="B38" s="1" t="s">
        <v>13</v>
      </c>
      <c r="C38" s="1" t="s">
        <v>72</v>
      </c>
      <c r="D38" s="1" t="s">
        <v>168</v>
      </c>
      <c r="E38" s="1"/>
      <c r="F38" s="1" t="s">
        <v>99</v>
      </c>
      <c r="G38" s="1" t="s">
        <v>100</v>
      </c>
      <c r="H38" s="1"/>
      <c r="I38" s="3" t="s">
        <v>101</v>
      </c>
      <c r="J38" s="3" t="s">
        <v>102</v>
      </c>
      <c r="K38" s="3" t="s">
        <v>103</v>
      </c>
      <c r="L38" s="3" t="s">
        <v>17</v>
      </c>
    </row>
    <row r="39" spans="1:12" ht="45" x14ac:dyDescent="0.25">
      <c r="A39" s="1" t="s">
        <v>73</v>
      </c>
      <c r="B39" s="1" t="s">
        <v>13</v>
      </c>
      <c r="C39" s="1" t="s">
        <v>74</v>
      </c>
      <c r="D39" s="1" t="s">
        <v>169</v>
      </c>
      <c r="E39" s="1"/>
      <c r="F39" s="1" t="s">
        <v>170</v>
      </c>
      <c r="G39" s="1" t="s">
        <v>100</v>
      </c>
      <c r="H39" s="1"/>
      <c r="I39" s="3" t="s">
        <v>105</v>
      </c>
      <c r="J39" s="3" t="s">
        <v>102</v>
      </c>
      <c r="K39" s="3" t="s">
        <v>106</v>
      </c>
      <c r="L39" s="3" t="s">
        <v>21</v>
      </c>
    </row>
    <row r="40" spans="1:12" ht="30" x14ac:dyDescent="0.25">
      <c r="A40" s="1" t="s">
        <v>75</v>
      </c>
      <c r="B40" s="1" t="s">
        <v>13</v>
      </c>
      <c r="C40" s="1" t="s">
        <v>76</v>
      </c>
      <c r="D40" s="1" t="s">
        <v>171</v>
      </c>
      <c r="E40" s="1"/>
      <c r="F40" s="1" t="s">
        <v>99</v>
      </c>
      <c r="G40" s="1" t="s">
        <v>100</v>
      </c>
      <c r="H40" s="1"/>
      <c r="I40" s="3" t="s">
        <v>121</v>
      </c>
      <c r="J40" s="3" t="s">
        <v>102</v>
      </c>
      <c r="K40" s="3" t="s">
        <v>122</v>
      </c>
      <c r="L40" s="3" t="s">
        <v>39</v>
      </c>
    </row>
    <row r="41" spans="1:12" ht="30" x14ac:dyDescent="0.25">
      <c r="A41" s="1" t="s">
        <v>77</v>
      </c>
      <c r="B41" s="1" t="s">
        <v>13</v>
      </c>
      <c r="C41" s="1" t="s">
        <v>78</v>
      </c>
      <c r="D41" s="1" t="s">
        <v>161</v>
      </c>
      <c r="E41" s="1"/>
      <c r="F41" s="1" t="s">
        <v>99</v>
      </c>
      <c r="G41" s="1" t="s">
        <v>140</v>
      </c>
      <c r="H41" s="1"/>
      <c r="I41" s="3" t="s">
        <v>121</v>
      </c>
      <c r="J41" s="3" t="s">
        <v>102</v>
      </c>
      <c r="K41" s="3" t="s">
        <v>172</v>
      </c>
      <c r="L41" s="3" t="s">
        <v>79</v>
      </c>
    </row>
    <row r="42" spans="1:12" ht="60" x14ac:dyDescent="0.25">
      <c r="A42" s="1" t="s">
        <v>77</v>
      </c>
      <c r="B42" s="1" t="s">
        <v>13</v>
      </c>
      <c r="C42" s="1" t="s">
        <v>80</v>
      </c>
      <c r="D42" s="1" t="s">
        <v>173</v>
      </c>
      <c r="E42" s="1"/>
      <c r="F42" s="1" t="s">
        <v>99</v>
      </c>
      <c r="G42" s="1" t="s">
        <v>100</v>
      </c>
      <c r="H42" s="1"/>
      <c r="I42" s="3" t="s">
        <v>174</v>
      </c>
      <c r="J42" s="3" t="s">
        <v>102</v>
      </c>
      <c r="K42" s="3" t="s">
        <v>175</v>
      </c>
      <c r="L42" s="3" t="s">
        <v>81</v>
      </c>
    </row>
    <row r="43" spans="1:12" ht="45" x14ac:dyDescent="0.25">
      <c r="A43" s="1" t="s">
        <v>77</v>
      </c>
      <c r="B43" s="1" t="s">
        <v>13</v>
      </c>
      <c r="C43" s="1" t="s">
        <v>82</v>
      </c>
      <c r="D43" s="1" t="s">
        <v>176</v>
      </c>
      <c r="E43" s="1"/>
      <c r="F43" s="1" t="s">
        <v>99</v>
      </c>
      <c r="G43" s="1" t="s">
        <v>100</v>
      </c>
      <c r="H43" s="1"/>
      <c r="I43" s="3" t="s">
        <v>121</v>
      </c>
      <c r="J43" s="3" t="s">
        <v>102</v>
      </c>
      <c r="K43" s="3" t="s">
        <v>122</v>
      </c>
      <c r="L43" s="3" t="s">
        <v>39</v>
      </c>
    </row>
    <row r="44" spans="1:12" ht="45" x14ac:dyDescent="0.25">
      <c r="A44" s="1" t="s">
        <v>77</v>
      </c>
      <c r="B44" s="1" t="s">
        <v>13</v>
      </c>
      <c r="C44" s="1" t="s">
        <v>83</v>
      </c>
      <c r="D44" s="1" t="s">
        <v>177</v>
      </c>
      <c r="E44" s="1"/>
      <c r="F44" s="1" t="s">
        <v>99</v>
      </c>
      <c r="G44" s="1" t="s">
        <v>100</v>
      </c>
      <c r="H44" s="1"/>
      <c r="I44" s="3" t="s">
        <v>118</v>
      </c>
      <c r="J44" s="3" t="s">
        <v>102</v>
      </c>
      <c r="K44" s="3" t="s">
        <v>119</v>
      </c>
      <c r="L44" s="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28F86-246C-40B9-9F5B-F4ECCD4877AA}">
  <dimension ref="A1:N49"/>
  <sheetViews>
    <sheetView workbookViewId="0">
      <selection activeCell="M50" sqref="M50"/>
    </sheetView>
  </sheetViews>
  <sheetFormatPr defaultRowHeight="15" x14ac:dyDescent="0.25"/>
  <cols>
    <col min="1" max="1" width="10.7109375" style="11" bestFit="1" customWidth="1"/>
    <col min="2" max="2" width="15.42578125" bestFit="1" customWidth="1"/>
    <col min="3" max="3" width="18" bestFit="1" customWidth="1"/>
    <col min="4" max="4" width="14.85546875" bestFit="1" customWidth="1"/>
    <col min="5" max="5" width="36.42578125" bestFit="1" customWidth="1"/>
    <col min="6" max="6" width="9" bestFit="1" customWidth="1"/>
    <col min="7" max="7" width="8.7109375" bestFit="1" customWidth="1"/>
    <col min="8" max="8" width="10.140625" bestFit="1" customWidth="1"/>
    <col min="9" max="9" width="16.42578125" style="15" bestFit="1" customWidth="1"/>
    <col min="10" max="10" width="10.7109375" style="15" bestFit="1" customWidth="1"/>
    <col min="11" max="11" width="12" style="15" bestFit="1" customWidth="1"/>
    <col min="12" max="12" width="6.42578125" style="15" bestFit="1" customWidth="1"/>
    <col min="13" max="13" width="13.140625" style="15" bestFit="1" customWidth="1"/>
    <col min="14" max="14" width="22.85546875" bestFit="1" customWidth="1"/>
  </cols>
  <sheetData>
    <row r="1" spans="1:14" x14ac:dyDescent="0.25">
      <c r="A1" s="10" t="s">
        <v>1</v>
      </c>
      <c r="B1" s="5" t="s">
        <v>2</v>
      </c>
      <c r="C1" s="5" t="s">
        <v>3</v>
      </c>
      <c r="D1" s="5" t="s">
        <v>178</v>
      </c>
      <c r="E1" s="5" t="s">
        <v>89</v>
      </c>
      <c r="F1" s="5" t="s">
        <v>91</v>
      </c>
      <c r="G1" s="5" t="s">
        <v>92</v>
      </c>
      <c r="H1" s="5" t="s">
        <v>94</v>
      </c>
      <c r="I1" s="14" t="s">
        <v>179</v>
      </c>
      <c r="J1" s="14" t="s">
        <v>180</v>
      </c>
      <c r="K1" s="14" t="s">
        <v>181</v>
      </c>
      <c r="L1" s="14" t="s">
        <v>182</v>
      </c>
      <c r="M1" s="14" t="s">
        <v>7</v>
      </c>
      <c r="N1" s="5" t="s">
        <v>8</v>
      </c>
    </row>
    <row r="2" spans="1:14" x14ac:dyDescent="0.25">
      <c r="A2" s="11">
        <v>46232</v>
      </c>
      <c r="B2" t="s">
        <v>13</v>
      </c>
      <c r="C2" t="s">
        <v>14</v>
      </c>
      <c r="D2">
        <v>1403</v>
      </c>
      <c r="E2" t="s">
        <v>98</v>
      </c>
      <c r="F2">
        <v>9021</v>
      </c>
      <c r="G2">
        <v>1</v>
      </c>
      <c r="H2">
        <v>1800</v>
      </c>
      <c r="I2" s="15">
        <v>0</v>
      </c>
      <c r="J2" s="15">
        <v>0</v>
      </c>
      <c r="K2" s="15">
        <v>90</v>
      </c>
      <c r="L2" s="15">
        <v>5</v>
      </c>
      <c r="M2" s="15">
        <v>1890</v>
      </c>
      <c r="N2" t="s">
        <v>18</v>
      </c>
    </row>
    <row r="3" spans="1:14" x14ac:dyDescent="0.25">
      <c r="A3" s="11">
        <v>46232</v>
      </c>
      <c r="B3" t="s">
        <v>13</v>
      </c>
      <c r="C3" t="s">
        <v>14</v>
      </c>
      <c r="D3">
        <v>1404</v>
      </c>
      <c r="E3" t="s">
        <v>104</v>
      </c>
      <c r="F3">
        <v>9021</v>
      </c>
      <c r="G3">
        <v>1</v>
      </c>
      <c r="H3">
        <v>2800</v>
      </c>
      <c r="I3" s="15">
        <v>0</v>
      </c>
      <c r="J3" s="15">
        <v>0</v>
      </c>
      <c r="K3" s="15">
        <v>140</v>
      </c>
      <c r="L3" s="15">
        <v>5</v>
      </c>
      <c r="M3" s="15">
        <v>2940</v>
      </c>
      <c r="N3" t="s">
        <v>18</v>
      </c>
    </row>
    <row r="4" spans="1:14" x14ac:dyDescent="0.25">
      <c r="A4" s="11">
        <v>46230</v>
      </c>
      <c r="B4" t="s">
        <v>13</v>
      </c>
      <c r="C4" t="s">
        <v>14</v>
      </c>
      <c r="D4">
        <v>1391</v>
      </c>
      <c r="E4" t="s">
        <v>107</v>
      </c>
      <c r="F4">
        <v>9021</v>
      </c>
      <c r="G4">
        <v>1</v>
      </c>
      <c r="H4">
        <v>2800</v>
      </c>
      <c r="I4" s="15">
        <v>0</v>
      </c>
      <c r="J4" s="15">
        <v>0</v>
      </c>
      <c r="K4" s="15">
        <v>140</v>
      </c>
      <c r="L4" s="15">
        <v>5</v>
      </c>
      <c r="M4" s="15">
        <v>2940</v>
      </c>
      <c r="N4" t="s">
        <v>18</v>
      </c>
    </row>
    <row r="5" spans="1:14" x14ac:dyDescent="0.25">
      <c r="A5" s="11">
        <v>46230</v>
      </c>
      <c r="B5" t="s">
        <v>13</v>
      </c>
      <c r="C5" t="s">
        <v>14</v>
      </c>
      <c r="D5">
        <v>1392</v>
      </c>
      <c r="E5" t="s">
        <v>108</v>
      </c>
      <c r="F5">
        <v>9021</v>
      </c>
      <c r="G5">
        <v>1</v>
      </c>
      <c r="H5">
        <v>2800</v>
      </c>
      <c r="I5" s="15">
        <v>0</v>
      </c>
      <c r="J5" s="15">
        <v>0</v>
      </c>
      <c r="K5" s="15">
        <v>140</v>
      </c>
      <c r="L5" s="15">
        <v>5</v>
      </c>
      <c r="M5" s="15">
        <v>2940</v>
      </c>
      <c r="N5" t="s">
        <v>18</v>
      </c>
    </row>
    <row r="6" spans="1:14" x14ac:dyDescent="0.25">
      <c r="A6" s="11">
        <v>46228</v>
      </c>
      <c r="B6" t="s">
        <v>13</v>
      </c>
      <c r="C6" t="s">
        <v>14</v>
      </c>
      <c r="D6">
        <v>1390</v>
      </c>
      <c r="E6" t="s">
        <v>109</v>
      </c>
      <c r="F6">
        <v>9021</v>
      </c>
      <c r="G6">
        <v>1</v>
      </c>
      <c r="H6">
        <v>1800</v>
      </c>
      <c r="I6" s="15">
        <v>0</v>
      </c>
      <c r="J6" s="15">
        <v>0</v>
      </c>
      <c r="K6" s="15">
        <v>90</v>
      </c>
      <c r="L6" s="15">
        <v>5</v>
      </c>
      <c r="M6" s="15">
        <v>1890</v>
      </c>
      <c r="N6" t="s">
        <v>18</v>
      </c>
    </row>
    <row r="7" spans="1:14" x14ac:dyDescent="0.25">
      <c r="A7" s="11">
        <v>46226</v>
      </c>
      <c r="B7" t="s">
        <v>13</v>
      </c>
      <c r="C7" t="s">
        <v>14</v>
      </c>
      <c r="D7">
        <v>1379</v>
      </c>
      <c r="E7" t="s">
        <v>110</v>
      </c>
      <c r="F7">
        <v>9021</v>
      </c>
      <c r="G7">
        <v>1</v>
      </c>
      <c r="H7">
        <v>2000</v>
      </c>
      <c r="I7" s="15">
        <v>0</v>
      </c>
      <c r="J7" s="15">
        <v>0</v>
      </c>
      <c r="K7" s="15">
        <v>100</v>
      </c>
      <c r="L7" s="15">
        <v>5</v>
      </c>
      <c r="M7" s="15">
        <v>2100</v>
      </c>
      <c r="N7" t="s">
        <v>18</v>
      </c>
    </row>
    <row r="8" spans="1:14" x14ac:dyDescent="0.25">
      <c r="A8" s="11">
        <v>46226</v>
      </c>
      <c r="B8" t="s">
        <v>13</v>
      </c>
      <c r="C8" t="s">
        <v>14</v>
      </c>
      <c r="D8">
        <v>1380</v>
      </c>
      <c r="E8" t="s">
        <v>113</v>
      </c>
      <c r="F8">
        <v>9021</v>
      </c>
      <c r="G8">
        <v>1</v>
      </c>
      <c r="H8">
        <v>3000</v>
      </c>
      <c r="I8" s="15">
        <v>0</v>
      </c>
      <c r="J8" s="15">
        <v>0</v>
      </c>
      <c r="K8" s="15">
        <v>150</v>
      </c>
      <c r="L8" s="15">
        <v>5</v>
      </c>
      <c r="M8" s="15">
        <v>3150</v>
      </c>
      <c r="N8" t="s">
        <v>18</v>
      </c>
    </row>
    <row r="9" spans="1:14" x14ac:dyDescent="0.25">
      <c r="A9" s="11">
        <v>46226</v>
      </c>
      <c r="B9" t="s">
        <v>13</v>
      </c>
      <c r="C9" t="s">
        <v>14</v>
      </c>
      <c r="D9">
        <v>1381</v>
      </c>
      <c r="E9" t="s">
        <v>116</v>
      </c>
      <c r="F9">
        <v>9021</v>
      </c>
      <c r="G9">
        <v>1</v>
      </c>
      <c r="H9">
        <v>2800</v>
      </c>
      <c r="I9" s="15">
        <v>0</v>
      </c>
      <c r="J9" s="15">
        <v>0</v>
      </c>
      <c r="K9" s="15">
        <v>140</v>
      </c>
      <c r="L9" s="15">
        <v>5</v>
      </c>
      <c r="M9" s="15">
        <v>2940</v>
      </c>
      <c r="N9" t="s">
        <v>18</v>
      </c>
    </row>
    <row r="10" spans="1:14" x14ac:dyDescent="0.25">
      <c r="A10" s="11">
        <v>46226</v>
      </c>
      <c r="B10" t="s">
        <v>13</v>
      </c>
      <c r="C10" t="s">
        <v>14</v>
      </c>
      <c r="D10">
        <v>1382</v>
      </c>
      <c r="E10" t="s">
        <v>117</v>
      </c>
      <c r="F10">
        <v>9021</v>
      </c>
      <c r="G10">
        <v>1</v>
      </c>
      <c r="H10">
        <v>3800</v>
      </c>
      <c r="I10" s="15">
        <v>0</v>
      </c>
      <c r="J10" s="15">
        <v>0</v>
      </c>
      <c r="K10" s="15">
        <v>190</v>
      </c>
      <c r="L10" s="15">
        <v>5</v>
      </c>
      <c r="M10" s="15">
        <v>3990</v>
      </c>
      <c r="N10" t="s">
        <v>18</v>
      </c>
    </row>
    <row r="11" spans="1:14" x14ac:dyDescent="0.25">
      <c r="A11" s="11">
        <v>46226</v>
      </c>
      <c r="B11" t="s">
        <v>13</v>
      </c>
      <c r="C11" t="s">
        <v>14</v>
      </c>
      <c r="D11">
        <v>1383</v>
      </c>
      <c r="E11" t="s">
        <v>120</v>
      </c>
      <c r="F11">
        <v>9021</v>
      </c>
      <c r="G11">
        <v>1</v>
      </c>
      <c r="H11">
        <v>2500</v>
      </c>
      <c r="I11" s="15">
        <v>0</v>
      </c>
      <c r="J11" s="15">
        <v>0</v>
      </c>
      <c r="K11" s="15">
        <v>125</v>
      </c>
      <c r="L11" s="15">
        <v>5</v>
      </c>
      <c r="M11" s="15">
        <v>2625</v>
      </c>
      <c r="N11" t="s">
        <v>18</v>
      </c>
    </row>
    <row r="12" spans="1:14" x14ac:dyDescent="0.25">
      <c r="A12" s="11">
        <v>46226</v>
      </c>
      <c r="B12" t="s">
        <v>13</v>
      </c>
      <c r="C12" t="s">
        <v>14</v>
      </c>
      <c r="D12">
        <v>1383</v>
      </c>
      <c r="E12" t="s">
        <v>120</v>
      </c>
      <c r="F12">
        <v>9021</v>
      </c>
      <c r="G12">
        <v>1</v>
      </c>
      <c r="H12">
        <v>2000</v>
      </c>
      <c r="I12" s="15">
        <v>0</v>
      </c>
      <c r="J12" s="15">
        <v>0</v>
      </c>
      <c r="K12" s="15">
        <v>100</v>
      </c>
      <c r="L12" s="15">
        <v>5</v>
      </c>
      <c r="M12" s="15">
        <v>2100</v>
      </c>
      <c r="N12" t="s">
        <v>18</v>
      </c>
    </row>
    <row r="13" spans="1:14" x14ac:dyDescent="0.25">
      <c r="A13" s="11">
        <v>46226</v>
      </c>
      <c r="B13" t="s">
        <v>13</v>
      </c>
      <c r="C13" t="s">
        <v>14</v>
      </c>
      <c r="D13">
        <v>1384</v>
      </c>
      <c r="E13" t="s">
        <v>123</v>
      </c>
      <c r="F13">
        <v>9021</v>
      </c>
      <c r="G13">
        <v>1</v>
      </c>
      <c r="H13">
        <v>2000</v>
      </c>
      <c r="I13" s="15">
        <v>0</v>
      </c>
      <c r="J13" s="15">
        <v>0</v>
      </c>
      <c r="K13" s="15">
        <v>100</v>
      </c>
      <c r="L13" s="15">
        <v>5</v>
      </c>
      <c r="M13" s="15">
        <v>2100</v>
      </c>
      <c r="N13" t="s">
        <v>18</v>
      </c>
    </row>
    <row r="14" spans="1:14" x14ac:dyDescent="0.25">
      <c r="A14" s="11">
        <v>46226</v>
      </c>
      <c r="B14" t="s">
        <v>13</v>
      </c>
      <c r="C14" t="s">
        <v>14</v>
      </c>
      <c r="D14">
        <v>1385</v>
      </c>
      <c r="E14" t="s">
        <v>124</v>
      </c>
      <c r="F14">
        <v>9021</v>
      </c>
      <c r="G14">
        <v>1</v>
      </c>
      <c r="H14">
        <v>2500</v>
      </c>
      <c r="I14" s="15">
        <v>0</v>
      </c>
      <c r="J14" s="15">
        <v>0</v>
      </c>
      <c r="K14" s="15">
        <v>125</v>
      </c>
      <c r="L14" s="15">
        <v>5</v>
      </c>
      <c r="M14" s="15">
        <v>2625</v>
      </c>
      <c r="N14" t="s">
        <v>18</v>
      </c>
    </row>
    <row r="15" spans="1:14" x14ac:dyDescent="0.25">
      <c r="A15" s="11">
        <v>46225</v>
      </c>
      <c r="B15" t="s">
        <v>13</v>
      </c>
      <c r="C15" t="s">
        <v>14</v>
      </c>
      <c r="D15">
        <v>1378</v>
      </c>
      <c r="E15" t="s">
        <v>130</v>
      </c>
      <c r="F15">
        <v>9021</v>
      </c>
      <c r="G15">
        <v>1</v>
      </c>
      <c r="H15">
        <v>2000</v>
      </c>
      <c r="I15" s="15">
        <v>0</v>
      </c>
      <c r="J15" s="15">
        <v>0</v>
      </c>
      <c r="K15" s="15">
        <v>100</v>
      </c>
      <c r="L15" s="15">
        <v>5</v>
      </c>
      <c r="M15" s="15">
        <v>2100</v>
      </c>
      <c r="N15" t="s">
        <v>18</v>
      </c>
    </row>
    <row r="16" spans="1:14" x14ac:dyDescent="0.25">
      <c r="A16" s="11">
        <v>46224</v>
      </c>
      <c r="B16" t="s">
        <v>13</v>
      </c>
      <c r="C16" t="s">
        <v>14</v>
      </c>
      <c r="D16">
        <v>1374</v>
      </c>
      <c r="E16" t="s">
        <v>131</v>
      </c>
      <c r="F16">
        <v>9021</v>
      </c>
      <c r="G16">
        <v>1</v>
      </c>
      <c r="H16">
        <v>2500</v>
      </c>
      <c r="I16" s="15">
        <v>0</v>
      </c>
      <c r="J16" s="15">
        <v>0</v>
      </c>
      <c r="K16" s="15">
        <v>125</v>
      </c>
      <c r="L16" s="15">
        <v>5</v>
      </c>
      <c r="M16" s="15">
        <v>2625</v>
      </c>
      <c r="N16" t="s">
        <v>18</v>
      </c>
    </row>
    <row r="17" spans="1:14" x14ac:dyDescent="0.25">
      <c r="A17" s="11">
        <v>46224</v>
      </c>
      <c r="B17" t="s">
        <v>13</v>
      </c>
      <c r="C17" t="s">
        <v>14</v>
      </c>
      <c r="D17">
        <v>1375</v>
      </c>
      <c r="E17" t="s">
        <v>132</v>
      </c>
      <c r="F17">
        <v>9021</v>
      </c>
      <c r="G17">
        <v>1</v>
      </c>
      <c r="H17">
        <v>2600</v>
      </c>
      <c r="I17" s="15">
        <v>0</v>
      </c>
      <c r="J17" s="15">
        <v>0</v>
      </c>
      <c r="K17" s="15">
        <v>130</v>
      </c>
      <c r="L17" s="15">
        <v>5</v>
      </c>
      <c r="M17" s="15">
        <v>2730</v>
      </c>
      <c r="N17" t="s">
        <v>18</v>
      </c>
    </row>
    <row r="18" spans="1:14" x14ac:dyDescent="0.25">
      <c r="A18" s="11">
        <v>46224</v>
      </c>
      <c r="B18" t="s">
        <v>13</v>
      </c>
      <c r="C18" t="s">
        <v>14</v>
      </c>
      <c r="D18">
        <v>1376</v>
      </c>
      <c r="E18" t="s">
        <v>135</v>
      </c>
      <c r="F18">
        <v>9021</v>
      </c>
      <c r="G18">
        <v>1</v>
      </c>
      <c r="H18">
        <v>3000</v>
      </c>
      <c r="I18" s="15">
        <v>0</v>
      </c>
      <c r="J18" s="15">
        <v>0</v>
      </c>
      <c r="K18" s="15">
        <v>150</v>
      </c>
      <c r="L18" s="15">
        <v>5</v>
      </c>
      <c r="M18" s="15">
        <v>3150</v>
      </c>
      <c r="N18" t="s">
        <v>18</v>
      </c>
    </row>
    <row r="19" spans="1:14" x14ac:dyDescent="0.25">
      <c r="A19" s="11">
        <v>46224</v>
      </c>
      <c r="B19" t="s">
        <v>13</v>
      </c>
      <c r="C19" t="s">
        <v>14</v>
      </c>
      <c r="D19">
        <v>1377</v>
      </c>
      <c r="E19" t="s">
        <v>136</v>
      </c>
      <c r="F19">
        <v>9021</v>
      </c>
      <c r="G19">
        <v>1</v>
      </c>
      <c r="H19">
        <v>2800</v>
      </c>
      <c r="I19" s="15">
        <v>0</v>
      </c>
      <c r="J19" s="15">
        <v>0</v>
      </c>
      <c r="K19" s="15">
        <v>140</v>
      </c>
      <c r="L19" s="15">
        <v>5</v>
      </c>
      <c r="M19" s="15">
        <v>2940</v>
      </c>
      <c r="N19" t="s">
        <v>18</v>
      </c>
    </row>
    <row r="20" spans="1:14" x14ac:dyDescent="0.25">
      <c r="A20" s="11">
        <v>46220</v>
      </c>
      <c r="B20" t="s">
        <v>13</v>
      </c>
      <c r="C20" t="s">
        <v>14</v>
      </c>
      <c r="D20">
        <v>1302</v>
      </c>
      <c r="E20" t="s">
        <v>137</v>
      </c>
      <c r="F20">
        <v>9021</v>
      </c>
      <c r="G20">
        <v>1</v>
      </c>
      <c r="H20">
        <v>3800</v>
      </c>
      <c r="I20" s="15">
        <v>0</v>
      </c>
      <c r="J20" s="15">
        <v>0</v>
      </c>
      <c r="K20" s="15">
        <v>190</v>
      </c>
      <c r="L20" s="15">
        <v>5</v>
      </c>
      <c r="M20" s="15">
        <v>3990</v>
      </c>
      <c r="N20" t="s">
        <v>18</v>
      </c>
    </row>
    <row r="21" spans="1:14" x14ac:dyDescent="0.25">
      <c r="A21" s="11">
        <v>46220</v>
      </c>
      <c r="B21" t="s">
        <v>13</v>
      </c>
      <c r="C21" t="s">
        <v>14</v>
      </c>
      <c r="D21">
        <v>1301</v>
      </c>
      <c r="E21" t="s">
        <v>110</v>
      </c>
      <c r="F21">
        <v>9021</v>
      </c>
      <c r="G21">
        <v>1</v>
      </c>
      <c r="H21">
        <v>3000</v>
      </c>
      <c r="I21" s="15">
        <v>0</v>
      </c>
      <c r="J21" s="15">
        <v>0</v>
      </c>
      <c r="K21" s="15">
        <v>150</v>
      </c>
      <c r="L21" s="15">
        <v>5</v>
      </c>
      <c r="M21" s="15">
        <v>3150</v>
      </c>
      <c r="N21" t="s">
        <v>18</v>
      </c>
    </row>
    <row r="22" spans="1:14" x14ac:dyDescent="0.25">
      <c r="A22" s="11">
        <v>46220</v>
      </c>
      <c r="B22" t="s">
        <v>13</v>
      </c>
      <c r="C22" t="s">
        <v>14</v>
      </c>
      <c r="D22">
        <v>1300</v>
      </c>
      <c r="E22" t="s">
        <v>138</v>
      </c>
      <c r="F22">
        <v>9021</v>
      </c>
      <c r="G22">
        <v>1</v>
      </c>
      <c r="H22">
        <v>3000</v>
      </c>
      <c r="I22" s="15">
        <v>0</v>
      </c>
      <c r="J22" s="15">
        <v>0</v>
      </c>
      <c r="K22" s="15">
        <v>150</v>
      </c>
      <c r="L22" s="15">
        <v>5</v>
      </c>
      <c r="M22" s="15">
        <v>3150</v>
      </c>
      <c r="N22" t="s">
        <v>18</v>
      </c>
    </row>
    <row r="23" spans="1:14" x14ac:dyDescent="0.25">
      <c r="A23" s="11">
        <v>46219</v>
      </c>
      <c r="B23" t="s">
        <v>13</v>
      </c>
      <c r="C23" t="s">
        <v>14</v>
      </c>
      <c r="D23">
        <v>1299</v>
      </c>
      <c r="E23" t="s">
        <v>139</v>
      </c>
      <c r="F23">
        <v>9021</v>
      </c>
      <c r="G23">
        <v>2</v>
      </c>
      <c r="H23">
        <v>2800</v>
      </c>
      <c r="I23" s="15">
        <v>0</v>
      </c>
      <c r="J23" s="15">
        <v>0</v>
      </c>
      <c r="K23" s="15">
        <v>280</v>
      </c>
      <c r="L23" s="15">
        <v>5</v>
      </c>
      <c r="M23" s="15">
        <v>5880</v>
      </c>
      <c r="N23" t="s">
        <v>18</v>
      </c>
    </row>
    <row r="24" spans="1:14" x14ac:dyDescent="0.25">
      <c r="A24" s="11">
        <v>46218</v>
      </c>
      <c r="B24" t="s">
        <v>13</v>
      </c>
      <c r="C24" t="s">
        <v>14</v>
      </c>
      <c r="D24">
        <v>1298</v>
      </c>
      <c r="E24" t="s">
        <v>142</v>
      </c>
      <c r="F24">
        <v>9021</v>
      </c>
      <c r="G24">
        <v>1</v>
      </c>
      <c r="H24">
        <v>2000</v>
      </c>
      <c r="I24" s="15">
        <v>0</v>
      </c>
      <c r="J24" s="15">
        <v>0</v>
      </c>
      <c r="K24" s="15">
        <v>100</v>
      </c>
      <c r="L24" s="15">
        <v>5</v>
      </c>
      <c r="M24" s="15">
        <v>2100</v>
      </c>
      <c r="N24" t="s">
        <v>18</v>
      </c>
    </row>
    <row r="25" spans="1:14" x14ac:dyDescent="0.25">
      <c r="A25" s="11">
        <v>46216</v>
      </c>
      <c r="B25" t="s">
        <v>13</v>
      </c>
      <c r="C25" t="s">
        <v>14</v>
      </c>
      <c r="D25">
        <v>1126</v>
      </c>
      <c r="E25" t="s">
        <v>143</v>
      </c>
      <c r="F25">
        <v>9120</v>
      </c>
      <c r="G25">
        <v>2</v>
      </c>
      <c r="H25">
        <v>900</v>
      </c>
      <c r="I25" s="15">
        <v>0</v>
      </c>
      <c r="J25" s="15">
        <v>0</v>
      </c>
      <c r="K25" s="15">
        <v>90</v>
      </c>
      <c r="L25" s="15">
        <v>5</v>
      </c>
      <c r="M25" s="15">
        <v>1890</v>
      </c>
      <c r="N25" t="s">
        <v>18</v>
      </c>
    </row>
    <row r="26" spans="1:14" x14ac:dyDescent="0.25">
      <c r="A26" s="11">
        <v>46216</v>
      </c>
      <c r="B26" t="s">
        <v>13</v>
      </c>
      <c r="C26" t="s">
        <v>14</v>
      </c>
      <c r="D26">
        <v>1126</v>
      </c>
      <c r="E26" t="s">
        <v>147</v>
      </c>
      <c r="F26">
        <v>9120</v>
      </c>
      <c r="G26">
        <v>2</v>
      </c>
      <c r="H26">
        <v>900</v>
      </c>
      <c r="I26" s="15">
        <v>0</v>
      </c>
      <c r="J26" s="15">
        <v>0</v>
      </c>
      <c r="K26" s="15">
        <v>90</v>
      </c>
      <c r="L26" s="15">
        <v>5</v>
      </c>
      <c r="M26" s="15">
        <v>1890</v>
      </c>
      <c r="N26" t="s">
        <v>18</v>
      </c>
    </row>
    <row r="27" spans="1:14" x14ac:dyDescent="0.25">
      <c r="A27" s="11">
        <v>46216</v>
      </c>
      <c r="B27" t="s">
        <v>13</v>
      </c>
      <c r="C27" t="s">
        <v>14</v>
      </c>
      <c r="D27">
        <v>1126</v>
      </c>
      <c r="E27" t="s">
        <v>149</v>
      </c>
      <c r="F27">
        <v>9120</v>
      </c>
      <c r="G27">
        <v>2</v>
      </c>
      <c r="H27">
        <v>900</v>
      </c>
      <c r="I27" s="15">
        <v>0</v>
      </c>
      <c r="J27" s="15">
        <v>0</v>
      </c>
      <c r="K27" s="15">
        <v>90</v>
      </c>
      <c r="L27" s="15">
        <v>5</v>
      </c>
      <c r="M27" s="15">
        <v>1890</v>
      </c>
      <c r="N27" t="s">
        <v>18</v>
      </c>
    </row>
    <row r="28" spans="1:14" x14ac:dyDescent="0.25">
      <c r="A28" s="11">
        <v>46216</v>
      </c>
      <c r="B28" t="s">
        <v>13</v>
      </c>
      <c r="C28" t="s">
        <v>14</v>
      </c>
      <c r="D28">
        <v>1126</v>
      </c>
      <c r="E28" t="s">
        <v>151</v>
      </c>
      <c r="F28">
        <v>9120</v>
      </c>
      <c r="G28">
        <v>2</v>
      </c>
      <c r="H28">
        <v>900</v>
      </c>
      <c r="I28" s="15">
        <v>0</v>
      </c>
      <c r="J28" s="15">
        <v>0</v>
      </c>
      <c r="K28" s="15">
        <v>90</v>
      </c>
      <c r="L28" s="15">
        <v>5</v>
      </c>
      <c r="M28" s="15">
        <v>1890</v>
      </c>
      <c r="N28" t="s">
        <v>18</v>
      </c>
    </row>
    <row r="29" spans="1:14" x14ac:dyDescent="0.25">
      <c r="A29" s="11">
        <v>46216</v>
      </c>
      <c r="B29" t="s">
        <v>13</v>
      </c>
      <c r="C29" t="s">
        <v>14</v>
      </c>
      <c r="D29">
        <v>1126</v>
      </c>
      <c r="E29" t="s">
        <v>153</v>
      </c>
      <c r="F29">
        <v>9120</v>
      </c>
      <c r="G29">
        <v>2</v>
      </c>
      <c r="H29">
        <v>850</v>
      </c>
      <c r="I29" s="15">
        <v>0</v>
      </c>
      <c r="J29" s="15">
        <v>0</v>
      </c>
      <c r="K29" s="15">
        <v>85</v>
      </c>
      <c r="L29" s="15">
        <v>5</v>
      </c>
      <c r="M29" s="15">
        <v>1785</v>
      </c>
      <c r="N29" t="s">
        <v>18</v>
      </c>
    </row>
    <row r="30" spans="1:14" x14ac:dyDescent="0.25">
      <c r="A30" s="11">
        <v>46216</v>
      </c>
      <c r="B30" t="s">
        <v>13</v>
      </c>
      <c r="C30" t="s">
        <v>14</v>
      </c>
      <c r="D30">
        <v>1126</v>
      </c>
      <c r="E30" t="s">
        <v>158</v>
      </c>
      <c r="F30">
        <v>9120</v>
      </c>
      <c r="G30">
        <v>2</v>
      </c>
      <c r="H30">
        <v>850</v>
      </c>
      <c r="I30" s="15">
        <v>0</v>
      </c>
      <c r="J30" s="15">
        <v>0</v>
      </c>
      <c r="K30" s="15">
        <v>85</v>
      </c>
      <c r="L30" s="15">
        <v>5</v>
      </c>
      <c r="M30" s="15">
        <v>1785</v>
      </c>
      <c r="N30" t="s">
        <v>18</v>
      </c>
    </row>
    <row r="31" spans="1:14" x14ac:dyDescent="0.25">
      <c r="A31" s="11">
        <v>46216</v>
      </c>
      <c r="B31" t="s">
        <v>13</v>
      </c>
      <c r="C31" t="s">
        <v>14</v>
      </c>
      <c r="D31">
        <v>1297</v>
      </c>
      <c r="E31" t="s">
        <v>160</v>
      </c>
      <c r="F31">
        <v>9021</v>
      </c>
      <c r="G31">
        <v>1</v>
      </c>
      <c r="H31">
        <v>2800</v>
      </c>
      <c r="I31" s="15">
        <v>0</v>
      </c>
      <c r="J31" s="15">
        <v>0</v>
      </c>
      <c r="K31" s="15">
        <v>140</v>
      </c>
      <c r="L31" s="15">
        <v>5</v>
      </c>
      <c r="M31" s="15">
        <v>2940</v>
      </c>
      <c r="N31" t="s">
        <v>18</v>
      </c>
    </row>
    <row r="32" spans="1:14" x14ac:dyDescent="0.25">
      <c r="A32" s="11">
        <v>46216</v>
      </c>
      <c r="B32" t="s">
        <v>13</v>
      </c>
      <c r="C32" t="s">
        <v>14</v>
      </c>
      <c r="D32">
        <v>1296</v>
      </c>
      <c r="E32" t="s">
        <v>161</v>
      </c>
      <c r="F32">
        <v>9021</v>
      </c>
      <c r="G32">
        <v>1</v>
      </c>
      <c r="H32">
        <v>2500</v>
      </c>
      <c r="I32" s="15">
        <v>0</v>
      </c>
      <c r="J32" s="15">
        <v>0</v>
      </c>
      <c r="K32" s="15">
        <v>125</v>
      </c>
      <c r="L32" s="15">
        <v>5</v>
      </c>
      <c r="M32" s="15">
        <v>2625</v>
      </c>
      <c r="N32" t="s">
        <v>18</v>
      </c>
    </row>
    <row r="33" spans="1:14" x14ac:dyDescent="0.25">
      <c r="A33" s="11">
        <v>46212</v>
      </c>
      <c r="B33" t="s">
        <v>13</v>
      </c>
      <c r="C33" t="s">
        <v>14</v>
      </c>
      <c r="D33">
        <v>1295</v>
      </c>
      <c r="E33" t="s">
        <v>162</v>
      </c>
      <c r="F33">
        <v>9021</v>
      </c>
      <c r="G33">
        <v>1</v>
      </c>
      <c r="H33">
        <v>2000</v>
      </c>
      <c r="I33" s="15">
        <v>0</v>
      </c>
      <c r="J33" s="15">
        <v>0</v>
      </c>
      <c r="K33" s="15">
        <v>100</v>
      </c>
      <c r="L33" s="15">
        <v>5</v>
      </c>
      <c r="M33" s="15">
        <v>2100</v>
      </c>
      <c r="N33" t="s">
        <v>18</v>
      </c>
    </row>
    <row r="34" spans="1:14" x14ac:dyDescent="0.25">
      <c r="A34" s="11">
        <v>46211</v>
      </c>
      <c r="B34" t="s">
        <v>13</v>
      </c>
      <c r="C34" t="s">
        <v>14</v>
      </c>
      <c r="D34">
        <v>1994</v>
      </c>
      <c r="E34" t="s">
        <v>163</v>
      </c>
      <c r="F34">
        <v>9021</v>
      </c>
      <c r="G34">
        <v>1</v>
      </c>
      <c r="H34">
        <v>2800</v>
      </c>
      <c r="I34" s="15">
        <v>0</v>
      </c>
      <c r="J34" s="15">
        <v>0</v>
      </c>
      <c r="K34" s="15">
        <v>140</v>
      </c>
      <c r="L34" s="15">
        <v>5</v>
      </c>
      <c r="M34" s="15">
        <v>2940</v>
      </c>
      <c r="N34" t="s">
        <v>18</v>
      </c>
    </row>
    <row r="35" spans="1:14" x14ac:dyDescent="0.25">
      <c r="A35" s="11">
        <v>46211</v>
      </c>
      <c r="B35" t="s">
        <v>13</v>
      </c>
      <c r="C35" t="s">
        <v>14</v>
      </c>
      <c r="D35">
        <v>1293</v>
      </c>
      <c r="E35" t="s">
        <v>164</v>
      </c>
      <c r="F35">
        <v>9021</v>
      </c>
      <c r="G35">
        <v>1</v>
      </c>
      <c r="H35">
        <v>2800</v>
      </c>
      <c r="I35" s="15">
        <v>0</v>
      </c>
      <c r="J35" s="15">
        <v>0</v>
      </c>
      <c r="K35" s="15">
        <v>140</v>
      </c>
      <c r="L35" s="15">
        <v>5</v>
      </c>
      <c r="M35" s="15">
        <v>2940</v>
      </c>
      <c r="N35" t="s">
        <v>18</v>
      </c>
    </row>
    <row r="36" spans="1:14" x14ac:dyDescent="0.25">
      <c r="A36" s="11">
        <v>46211</v>
      </c>
      <c r="B36" t="s">
        <v>13</v>
      </c>
      <c r="C36" t="s">
        <v>14</v>
      </c>
      <c r="D36">
        <v>1292</v>
      </c>
      <c r="E36" t="s">
        <v>165</v>
      </c>
      <c r="F36">
        <v>9021</v>
      </c>
      <c r="G36">
        <v>2</v>
      </c>
      <c r="H36">
        <v>3300</v>
      </c>
      <c r="I36" s="15">
        <v>0</v>
      </c>
      <c r="J36" s="15">
        <v>0</v>
      </c>
      <c r="K36" s="15">
        <v>330</v>
      </c>
      <c r="L36" s="15">
        <v>5</v>
      </c>
      <c r="M36" s="15">
        <v>6930</v>
      </c>
      <c r="N36" t="s">
        <v>18</v>
      </c>
    </row>
    <row r="37" spans="1:14" x14ac:dyDescent="0.25">
      <c r="A37" s="11">
        <v>46211</v>
      </c>
      <c r="B37" t="s">
        <v>13</v>
      </c>
      <c r="C37" t="s">
        <v>14</v>
      </c>
      <c r="D37">
        <v>1291</v>
      </c>
      <c r="E37" t="s">
        <v>168</v>
      </c>
      <c r="F37">
        <v>9021</v>
      </c>
      <c r="G37">
        <v>1</v>
      </c>
      <c r="H37">
        <v>1800</v>
      </c>
      <c r="I37" s="15">
        <v>0</v>
      </c>
      <c r="J37" s="15">
        <v>0</v>
      </c>
      <c r="K37" s="15">
        <v>90</v>
      </c>
      <c r="L37" s="15">
        <v>5</v>
      </c>
      <c r="M37" s="15">
        <v>1890</v>
      </c>
      <c r="N37" t="s">
        <v>18</v>
      </c>
    </row>
    <row r="38" spans="1:14" x14ac:dyDescent="0.25">
      <c r="A38" s="11">
        <v>46210</v>
      </c>
      <c r="B38" t="s">
        <v>13</v>
      </c>
      <c r="C38" t="s">
        <v>14</v>
      </c>
      <c r="D38">
        <v>1290</v>
      </c>
      <c r="E38" t="s">
        <v>169</v>
      </c>
      <c r="F38">
        <v>9821</v>
      </c>
      <c r="G38">
        <v>1</v>
      </c>
      <c r="H38">
        <v>2800</v>
      </c>
      <c r="I38" s="15">
        <v>0</v>
      </c>
      <c r="J38" s="15">
        <v>0</v>
      </c>
      <c r="K38" s="15">
        <v>140</v>
      </c>
      <c r="L38" s="15">
        <v>5</v>
      </c>
      <c r="M38" s="15">
        <v>2940</v>
      </c>
      <c r="N38" t="s">
        <v>18</v>
      </c>
    </row>
    <row r="39" spans="1:14" x14ac:dyDescent="0.25">
      <c r="A39" s="11">
        <v>46209</v>
      </c>
      <c r="B39" t="s">
        <v>13</v>
      </c>
      <c r="C39" t="s">
        <v>14</v>
      </c>
      <c r="D39">
        <v>1303</v>
      </c>
      <c r="E39" t="s">
        <v>171</v>
      </c>
      <c r="F39">
        <v>9021</v>
      </c>
      <c r="G39">
        <v>1</v>
      </c>
      <c r="H39">
        <v>2500</v>
      </c>
      <c r="I39" s="15">
        <v>0</v>
      </c>
      <c r="J39" s="15">
        <v>0</v>
      </c>
      <c r="K39" s="15">
        <v>125</v>
      </c>
      <c r="L39" s="15">
        <v>5</v>
      </c>
      <c r="M39" s="15">
        <v>2625</v>
      </c>
      <c r="N39" t="s">
        <v>18</v>
      </c>
    </row>
    <row r="40" spans="1:14" x14ac:dyDescent="0.25">
      <c r="A40" s="11">
        <v>46204</v>
      </c>
      <c r="B40" t="s">
        <v>13</v>
      </c>
      <c r="C40" t="s">
        <v>14</v>
      </c>
      <c r="D40">
        <v>1289</v>
      </c>
      <c r="E40" t="s">
        <v>161</v>
      </c>
      <c r="F40">
        <v>9021</v>
      </c>
      <c r="G40">
        <v>2</v>
      </c>
      <c r="H40">
        <v>2500</v>
      </c>
      <c r="I40" s="15">
        <v>0</v>
      </c>
      <c r="J40" s="15">
        <v>0</v>
      </c>
      <c r="K40" s="15">
        <v>250</v>
      </c>
      <c r="L40" s="15">
        <v>5</v>
      </c>
      <c r="M40" s="15">
        <v>5250</v>
      </c>
      <c r="N40" t="s">
        <v>18</v>
      </c>
    </row>
    <row r="41" spans="1:14" x14ac:dyDescent="0.25">
      <c r="A41" s="11">
        <v>46204</v>
      </c>
      <c r="B41" t="s">
        <v>13</v>
      </c>
      <c r="C41" t="s">
        <v>14</v>
      </c>
      <c r="D41">
        <v>1288</v>
      </c>
      <c r="E41" t="s">
        <v>173</v>
      </c>
      <c r="F41">
        <v>9021</v>
      </c>
      <c r="G41">
        <v>1</v>
      </c>
      <c r="H41">
        <v>4800</v>
      </c>
      <c r="I41" s="15">
        <v>0</v>
      </c>
      <c r="J41" s="15">
        <v>0</v>
      </c>
      <c r="K41" s="15">
        <v>240</v>
      </c>
      <c r="L41" s="15">
        <v>5</v>
      </c>
      <c r="M41" s="15">
        <v>5040</v>
      </c>
      <c r="N41" t="s">
        <v>18</v>
      </c>
    </row>
    <row r="42" spans="1:14" x14ac:dyDescent="0.25">
      <c r="A42" s="11">
        <v>46204</v>
      </c>
      <c r="B42" t="s">
        <v>13</v>
      </c>
      <c r="C42" t="s">
        <v>14</v>
      </c>
      <c r="D42">
        <v>1287</v>
      </c>
      <c r="E42" t="s">
        <v>176</v>
      </c>
      <c r="F42">
        <v>9021</v>
      </c>
      <c r="G42">
        <v>1</v>
      </c>
      <c r="H42">
        <v>2500</v>
      </c>
      <c r="I42" s="15">
        <v>0</v>
      </c>
      <c r="J42" s="15">
        <v>0</v>
      </c>
      <c r="K42" s="15">
        <v>125</v>
      </c>
      <c r="L42" s="15">
        <v>5</v>
      </c>
      <c r="M42" s="15">
        <v>2625</v>
      </c>
      <c r="N42" t="s">
        <v>18</v>
      </c>
    </row>
    <row r="43" spans="1:14" x14ac:dyDescent="0.25">
      <c r="A43" s="11">
        <v>46204</v>
      </c>
      <c r="B43" t="s">
        <v>13</v>
      </c>
      <c r="C43" t="s">
        <v>14</v>
      </c>
      <c r="D43">
        <v>1286</v>
      </c>
      <c r="E43" t="s">
        <v>177</v>
      </c>
      <c r="F43">
        <v>9021</v>
      </c>
      <c r="G43">
        <v>1</v>
      </c>
      <c r="H43">
        <v>3800</v>
      </c>
      <c r="I43" s="15">
        <v>0</v>
      </c>
      <c r="J43" s="15">
        <v>0</v>
      </c>
      <c r="K43" s="15">
        <v>190</v>
      </c>
      <c r="L43" s="15">
        <v>5</v>
      </c>
      <c r="M43" s="15">
        <v>3990</v>
      </c>
      <c r="N43" t="s">
        <v>18</v>
      </c>
    </row>
    <row r="44" spans="1:14" x14ac:dyDescent="0.25">
      <c r="A44" s="12"/>
      <c r="B44" s="8" t="s">
        <v>183</v>
      </c>
      <c r="C44" s="8"/>
      <c r="D44" s="8"/>
      <c r="E44" s="8"/>
      <c r="F44" s="8"/>
      <c r="G44" s="8">
        <f>SUM(G2:G43)</f>
        <v>51</v>
      </c>
      <c r="H44" s="8"/>
      <c r="I44" s="16">
        <f>SUM(I2:I43)</f>
        <v>0</v>
      </c>
      <c r="J44" s="16"/>
      <c r="K44" s="16">
        <f>SUM(K2:K43)</f>
        <v>5810</v>
      </c>
      <c r="L44" s="16">
        <v>0.05</v>
      </c>
      <c r="M44" s="16">
        <f>SUM(M2:M43)</f>
        <v>122010</v>
      </c>
      <c r="N44" s="8"/>
    </row>
    <row r="46" spans="1:14" ht="15.75" thickBot="1" x14ac:dyDescent="0.3">
      <c r="A46" s="13"/>
      <c r="B46" s="9" t="s">
        <v>184</v>
      </c>
      <c r="C46" s="9"/>
      <c r="D46" s="9"/>
      <c r="E46" s="9"/>
      <c r="F46" s="9"/>
      <c r="G46" s="9">
        <f>SUMIF(B2:B45, "Total for*", G2:G45)</f>
        <v>51</v>
      </c>
      <c r="H46" s="9"/>
      <c r="I46" s="17">
        <f>SUMIF(B2:B45, "Total for*", I2:I45)</f>
        <v>0</v>
      </c>
      <c r="J46" s="17"/>
      <c r="K46" s="17">
        <f>SUMIF(B2:B45, "Total for*", K2:K45)</f>
        <v>5810</v>
      </c>
      <c r="L46" s="17"/>
      <c r="M46" s="17">
        <f>SUMIF(B2:B45, "Total for*", M2:M45)</f>
        <v>122010</v>
      </c>
      <c r="N46" s="9"/>
    </row>
    <row r="47" spans="1:14" ht="15.75" thickTop="1" x14ac:dyDescent="0.25"/>
    <row r="49" spans="13:13" x14ac:dyDescent="0.25">
      <c r="M49" s="15">
        <f>M46+B2C!M5</f>
        <v>161010.04999999999</v>
      </c>
    </row>
  </sheetData>
  <sortState xmlns:xlrd2="http://schemas.microsoft.com/office/spreadsheetml/2017/richdata2" ref="A2:N43">
    <sortCondition ref="L2:L4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8FD8B-D373-4DEF-82BB-63D9C30A9B44}">
  <dimension ref="A1:N6"/>
  <sheetViews>
    <sheetView workbookViewId="0">
      <selection activeCell="O25" sqref="O25"/>
    </sheetView>
  </sheetViews>
  <sheetFormatPr defaultRowHeight="15" x14ac:dyDescent="0.25"/>
  <cols>
    <col min="1" max="1" width="10.7109375" style="11" bestFit="1" customWidth="1"/>
    <col min="2" max="2" width="15.42578125" bestFit="1" customWidth="1"/>
    <col min="3" max="3" width="16.5703125" bestFit="1" customWidth="1"/>
    <col min="4" max="4" width="14.85546875" bestFit="1" customWidth="1"/>
    <col min="5" max="5" width="15.140625" bestFit="1" customWidth="1"/>
    <col min="6" max="6" width="9" bestFit="1" customWidth="1"/>
    <col min="7" max="7" width="8.7109375" bestFit="1" customWidth="1"/>
    <col min="8" max="8" width="10.140625" bestFit="1" customWidth="1"/>
    <col min="9" max="9" width="16.42578125" style="15" bestFit="1" customWidth="1"/>
    <col min="10" max="10" width="10.7109375" style="15" bestFit="1" customWidth="1"/>
    <col min="11" max="11" width="12" style="15" bestFit="1" customWidth="1"/>
    <col min="12" max="12" width="6.42578125" style="15" bestFit="1" customWidth="1"/>
    <col min="13" max="13" width="13.140625" style="15" bestFit="1" customWidth="1"/>
    <col min="14" max="14" width="22.85546875" bestFit="1" customWidth="1"/>
  </cols>
  <sheetData>
    <row r="1" spans="1:14" x14ac:dyDescent="0.25">
      <c r="A1" s="18" t="s">
        <v>1</v>
      </c>
      <c r="B1" s="6" t="s">
        <v>2</v>
      </c>
      <c r="C1" s="6" t="s">
        <v>3</v>
      </c>
      <c r="D1" s="6" t="s">
        <v>178</v>
      </c>
      <c r="E1" s="6" t="s">
        <v>89</v>
      </c>
      <c r="F1" s="6" t="s">
        <v>91</v>
      </c>
      <c r="G1" s="6" t="s">
        <v>92</v>
      </c>
      <c r="H1" s="6" t="s">
        <v>94</v>
      </c>
      <c r="I1" s="19" t="s">
        <v>179</v>
      </c>
      <c r="J1" s="19" t="s">
        <v>180</v>
      </c>
      <c r="K1" s="19" t="s">
        <v>181</v>
      </c>
      <c r="L1" s="19" t="s">
        <v>182</v>
      </c>
      <c r="M1" s="19" t="s">
        <v>7</v>
      </c>
      <c r="N1" s="6" t="s">
        <v>8</v>
      </c>
    </row>
    <row r="2" spans="1:14" x14ac:dyDescent="0.25">
      <c r="A2" s="11">
        <v>46226</v>
      </c>
      <c r="B2" t="s">
        <v>40</v>
      </c>
      <c r="D2">
        <v>238</v>
      </c>
      <c r="E2" t="s">
        <v>125</v>
      </c>
      <c r="F2">
        <v>90189099</v>
      </c>
      <c r="G2">
        <v>10</v>
      </c>
      <c r="H2">
        <v>3714.29</v>
      </c>
      <c r="I2" s="15">
        <v>0</v>
      </c>
      <c r="J2" s="15">
        <v>0</v>
      </c>
      <c r="K2" s="15">
        <v>1857.15</v>
      </c>
      <c r="L2" s="15">
        <v>5</v>
      </c>
      <c r="M2" s="15">
        <v>39000.050000000003</v>
      </c>
      <c r="N2" t="s">
        <v>18</v>
      </c>
    </row>
    <row r="3" spans="1:14" x14ac:dyDescent="0.25">
      <c r="A3" s="12"/>
      <c r="B3" s="8" t="s">
        <v>183</v>
      </c>
      <c r="C3" s="8"/>
      <c r="D3" s="8"/>
      <c r="E3" s="8"/>
      <c r="F3" s="8"/>
      <c r="G3" s="8">
        <f>SUM(G2:G2)</f>
        <v>10</v>
      </c>
      <c r="H3" s="8"/>
      <c r="I3" s="16">
        <f>SUM(I2:I2)</f>
        <v>0</v>
      </c>
      <c r="J3" s="16"/>
      <c r="K3" s="16">
        <f>SUM(K2:K2)</f>
        <v>1857.15</v>
      </c>
      <c r="L3" s="16">
        <v>0.05</v>
      </c>
      <c r="M3" s="16">
        <f>SUM(M2:M2)</f>
        <v>39000.050000000003</v>
      </c>
      <c r="N3" s="8"/>
    </row>
    <row r="5" spans="1:14" ht="15.75" thickBot="1" x14ac:dyDescent="0.3">
      <c r="A5" s="13"/>
      <c r="B5" s="9" t="s">
        <v>184</v>
      </c>
      <c r="C5" s="9"/>
      <c r="D5" s="9"/>
      <c r="E5" s="9"/>
      <c r="F5" s="9"/>
      <c r="G5" s="9">
        <f>SUMIF(B2:B4, "Total for*", G2:G4)</f>
        <v>10</v>
      </c>
      <c r="H5" s="9"/>
      <c r="I5" s="17">
        <f>SUMIF(B2:B4, "Total for*", I2:I4)</f>
        <v>0</v>
      </c>
      <c r="J5" s="17"/>
      <c r="K5" s="17">
        <f>SUMIF(B2:B4, "Total for*", K2:K4)</f>
        <v>1857.15</v>
      </c>
      <c r="L5" s="17"/>
      <c r="M5" s="17">
        <f>SUMIF(B2:B4, "Total for*", M2:M4)</f>
        <v>39000.050000000003</v>
      </c>
      <c r="N5" s="9"/>
    </row>
    <row r="6" spans="1:14" ht="15.75" thickTop="1" x14ac:dyDescent="0.25"/>
  </sheetData>
  <sortState xmlns:xlrd2="http://schemas.microsoft.com/office/spreadsheetml/2017/richdata2" ref="A2:N2">
    <sortCondition ref="L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4217-3FB1-4D25-AA05-B7C2219F09B1}">
  <dimension ref="A1:N1"/>
  <sheetViews>
    <sheetView tabSelected="1" workbookViewId="0">
      <selection activeCell="G22" sqref="G22"/>
    </sheetView>
  </sheetViews>
  <sheetFormatPr defaultRowHeight="15" x14ac:dyDescent="0.25"/>
  <cols>
    <col min="1" max="1" width="5.140625" style="11" bestFit="1" customWidth="1"/>
    <col min="2" max="2" width="11.28515625" bestFit="1" customWidth="1"/>
    <col min="3" max="3" width="16.5703125" bestFit="1" customWidth="1"/>
    <col min="4" max="4" width="14.85546875" bestFit="1" customWidth="1"/>
    <col min="5" max="5" width="10.85546875" bestFit="1" customWidth="1"/>
    <col min="6" max="6" width="9" bestFit="1" customWidth="1"/>
    <col min="7" max="7" width="8.7109375" bestFit="1" customWidth="1"/>
    <col min="8" max="8" width="10.140625" bestFit="1" customWidth="1"/>
    <col min="9" max="9" width="16.42578125" style="15" bestFit="1" customWidth="1"/>
    <col min="10" max="10" width="10.7109375" style="15" bestFit="1" customWidth="1"/>
    <col min="11" max="11" width="12" style="15" bestFit="1" customWidth="1"/>
    <col min="12" max="12" width="6.42578125" style="15" bestFit="1" customWidth="1"/>
    <col min="13" max="13" width="13.140625" style="15" bestFit="1" customWidth="1"/>
    <col min="14" max="14" width="13.7109375" bestFit="1" customWidth="1"/>
  </cols>
  <sheetData>
    <row r="1" spans="1:14" x14ac:dyDescent="0.25">
      <c r="A1" s="20" t="s">
        <v>1</v>
      </c>
      <c r="B1" s="7" t="s">
        <v>2</v>
      </c>
      <c r="C1" s="7" t="s">
        <v>3</v>
      </c>
      <c r="D1" s="7" t="s">
        <v>178</v>
      </c>
      <c r="E1" s="7" t="s">
        <v>89</v>
      </c>
      <c r="F1" s="7" t="s">
        <v>91</v>
      </c>
      <c r="G1" s="7" t="s">
        <v>92</v>
      </c>
      <c r="H1" s="7" t="s">
        <v>94</v>
      </c>
      <c r="I1" s="21" t="s">
        <v>179</v>
      </c>
      <c r="J1" s="21" t="s">
        <v>180</v>
      </c>
      <c r="K1" s="21" t="s">
        <v>181</v>
      </c>
      <c r="L1" s="21" t="s">
        <v>182</v>
      </c>
      <c r="M1" s="21" t="s">
        <v>7</v>
      </c>
      <c r="N1" s="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Purchase Report</vt:lpstr>
      <vt:lpstr>Purchase Items</vt:lpstr>
      <vt:lpstr>B2B</vt:lpstr>
      <vt:lpstr>B2C</vt:lpstr>
      <vt:lpstr>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 Jaykishan Jagad</cp:lastModifiedBy>
  <dcterms:created xsi:type="dcterms:W3CDTF">2026-08-08T03:49:21Z</dcterms:created>
  <dcterms:modified xsi:type="dcterms:W3CDTF">2026-08-11T04:00:54Z</dcterms:modified>
</cp:coreProperties>
</file>