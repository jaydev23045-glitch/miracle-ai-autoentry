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F.Y. 2026-27/"/>
    </mc:Choice>
  </mc:AlternateContent>
  <xr:revisionPtr revIDLastSave="5" documentId="8_{F45D51F5-63F1-4288-9CF4-6B157AA648F4}" xr6:coauthVersionLast="47" xr6:coauthVersionMax="47" xr10:uidLastSave="{4FEE635B-99C5-4809-8C4D-AB002B24A071}"/>
  <bookViews>
    <workbookView xWindow="-120" yWindow="-120" windowWidth="24240" windowHeight="13020" activeTab="5" xr2:uid="{00000000-000D-0000-FFFF-FFFF00000000}"/>
  </bookViews>
  <sheets>
    <sheet name="Matched" sheetId="1" r:id="rId1"/>
    <sheet name="Mismatched" sheetId="2" r:id="rId2"/>
    <sheet name="Partial_Matched" sheetId="3" r:id="rId3"/>
    <sheet name="Consolidated" sheetId="4" r:id="rId4"/>
    <sheet name="Miracle_Only" sheetId="5" r:id="rId5"/>
    <sheet name="2B_Only" sheetId="6" r:id="rId6"/>
    <sheet name="GSTR_2BCompac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8" i="7" l="1"/>
  <c r="P118" i="7"/>
  <c r="O118" i="7"/>
  <c r="N118" i="7"/>
  <c r="M118" i="7"/>
  <c r="L118" i="7"/>
  <c r="Q56" i="7"/>
  <c r="P56" i="7"/>
  <c r="O56" i="7"/>
  <c r="N56" i="7"/>
  <c r="M56" i="7"/>
  <c r="L56" i="7"/>
  <c r="Q8" i="7"/>
  <c r="P8" i="7"/>
  <c r="O8" i="7"/>
  <c r="N8" i="7"/>
  <c r="M8" i="7"/>
  <c r="L8" i="7"/>
  <c r="V116" i="4"/>
  <c r="U116" i="4"/>
  <c r="T116" i="4"/>
  <c r="S116" i="4"/>
  <c r="R116" i="4"/>
  <c r="Q116" i="4"/>
  <c r="P116" i="4"/>
  <c r="V55" i="4"/>
  <c r="U55" i="4"/>
  <c r="T55" i="4"/>
  <c r="S55" i="4"/>
  <c r="R55" i="4"/>
  <c r="Q55" i="4"/>
  <c r="P55" i="4"/>
  <c r="V7" i="4"/>
  <c r="U7" i="4"/>
  <c r="T7" i="4"/>
  <c r="S7" i="4"/>
  <c r="R7" i="4"/>
  <c r="Q7" i="4"/>
  <c r="P7" i="4"/>
  <c r="V7" i="3"/>
  <c r="U7" i="3"/>
  <c r="T7" i="3"/>
  <c r="S7" i="3"/>
  <c r="R7" i="3"/>
  <c r="Q7" i="3"/>
  <c r="P7" i="3"/>
</calcChain>
</file>

<file path=xl/sharedStrings.xml><?xml version="1.0" encoding="utf-8"?>
<sst xmlns="http://schemas.openxmlformats.org/spreadsheetml/2006/main" count="7416" uniqueCount="279">
  <si>
    <t>Summary For MATCHED</t>
  </si>
  <si>
    <t>Sr. No</t>
  </si>
  <si>
    <t>ITC Status</t>
  </si>
  <si>
    <t>ITC Ret. Period</t>
  </si>
  <si>
    <t>Invoice No</t>
  </si>
  <si>
    <t>Vou No.</t>
  </si>
  <si>
    <t>Source</t>
  </si>
  <si>
    <t>Invoice Date</t>
  </si>
  <si>
    <t>Original Bill Number</t>
  </si>
  <si>
    <t>Original Bill Date</t>
  </si>
  <si>
    <t>Section</t>
  </si>
  <si>
    <t>Supplier Name</t>
  </si>
  <si>
    <t>Supplier GSTIN No</t>
  </si>
  <si>
    <t>State Of Supply</t>
  </si>
  <si>
    <t>Supply Type</t>
  </si>
  <si>
    <t>Invoice Type</t>
  </si>
  <si>
    <t>Reverse Charge</t>
  </si>
  <si>
    <t>RC@Rate</t>
  </si>
  <si>
    <t>Assessable Amount</t>
  </si>
  <si>
    <t>Integrated Tax</t>
  </si>
  <si>
    <t>Central Tax</t>
  </si>
  <si>
    <t>State/UT Tax</t>
  </si>
  <si>
    <t>Cess</t>
  </si>
  <si>
    <t>Total Tax</t>
  </si>
  <si>
    <t>Invoice Value</t>
  </si>
  <si>
    <t>Return Filled By CP</t>
  </si>
  <si>
    <t>Remark</t>
  </si>
  <si>
    <t>Return Period</t>
  </si>
  <si>
    <t>GSTR-1/5 Period</t>
  </si>
  <si>
    <t>GSTR-1/5 Filing Date</t>
  </si>
  <si>
    <t>ITC Availability</t>
  </si>
  <si>
    <t>Reason</t>
  </si>
  <si>
    <t>Applicable % of Tax Rate</t>
  </si>
  <si>
    <t xml:space="preserve"> Source</t>
  </si>
  <si>
    <t>IRN</t>
  </si>
  <si>
    <t>IRN Date</t>
  </si>
  <si>
    <t>Summary For Mis-Matched</t>
  </si>
  <si>
    <t>Summary For Partial Mis-Match</t>
  </si>
  <si>
    <t>1</t>
  </si>
  <si>
    <t>001</t>
  </si>
  <si>
    <t/>
  </si>
  <si>
    <t>MIRACLE</t>
  </si>
  <si>
    <t>16/04/2026</t>
  </si>
  <si>
    <t>B2B</t>
  </si>
  <si>
    <t>Podiapro Private Limited</t>
  </si>
  <si>
    <t>27AAMCP8822E1Z5</t>
  </si>
  <si>
    <t>27-Maharashtra</t>
  </si>
  <si>
    <t>INTRA</t>
  </si>
  <si>
    <t>Regular</t>
  </si>
  <si>
    <t>No</t>
  </si>
  <si>
    <t>26-27/T/001</t>
  </si>
  <si>
    <t>GSTR2B</t>
  </si>
  <si>
    <t>PODIAPRO PRIVATE LIMITED</t>
  </si>
  <si>
    <t>Apr-2026</t>
  </si>
  <si>
    <t>Apr'26</t>
  </si>
  <si>
    <t>11/05/2026</t>
  </si>
  <si>
    <t>Yes</t>
  </si>
  <si>
    <t>0</t>
  </si>
  <si>
    <t>Partial Matched - Miracle Total</t>
  </si>
  <si>
    <t>Partial Matched - GSTR 2B Total</t>
  </si>
  <si>
    <t>Partial Matched - Difference</t>
  </si>
  <si>
    <t>Summary For Consolidate</t>
  </si>
  <si>
    <t>Approved</t>
  </si>
  <si>
    <t>Status</t>
  </si>
  <si>
    <t>Type</t>
  </si>
  <si>
    <t>Partial Matched</t>
  </si>
  <si>
    <t>2</t>
  </si>
  <si>
    <t>0A000078</t>
  </si>
  <si>
    <t>01/04/2026</t>
  </si>
  <si>
    <t>Revoluce Healthcare Llp</t>
  </si>
  <si>
    <t>27AAXFR8568H1Z5</t>
  </si>
  <si>
    <t>Miracle Only</t>
  </si>
  <si>
    <t>3</t>
  </si>
  <si>
    <t>44</t>
  </si>
  <si>
    <t>06/04/2026</t>
  </si>
  <si>
    <t>S S R Footcare</t>
  </si>
  <si>
    <t>33APSPD9984R3ZM</t>
  </si>
  <si>
    <t>INTER</t>
  </si>
  <si>
    <t>4</t>
  </si>
  <si>
    <t>45</t>
  </si>
  <si>
    <t>5</t>
  </si>
  <si>
    <t>42</t>
  </si>
  <si>
    <t>6</t>
  </si>
  <si>
    <t>43</t>
  </si>
  <si>
    <t>7</t>
  </si>
  <si>
    <t>46</t>
  </si>
  <si>
    <t>8</t>
  </si>
  <si>
    <t>48</t>
  </si>
  <si>
    <t>07/04/2026</t>
  </si>
  <si>
    <t>27</t>
  </si>
  <si>
    <t>57</t>
  </si>
  <si>
    <t>21/04/2026</t>
  </si>
  <si>
    <t>10</t>
  </si>
  <si>
    <t>23</t>
  </si>
  <si>
    <t>09/04/2026</t>
  </si>
  <si>
    <t>Elite Diagnostic</t>
  </si>
  <si>
    <t>9</t>
  </si>
  <si>
    <t>58</t>
  </si>
  <si>
    <t>08/04/2026</t>
  </si>
  <si>
    <t>11</t>
  </si>
  <si>
    <t>182</t>
  </si>
  <si>
    <t>10/04/2026</t>
  </si>
  <si>
    <t>12</t>
  </si>
  <si>
    <t>183</t>
  </si>
  <si>
    <t>13</t>
  </si>
  <si>
    <t>184</t>
  </si>
  <si>
    <t>11/04/2026</t>
  </si>
  <si>
    <t>14</t>
  </si>
  <si>
    <t>185</t>
  </si>
  <si>
    <t>12/04/2026</t>
  </si>
  <si>
    <t>15</t>
  </si>
  <si>
    <t>187</t>
  </si>
  <si>
    <t>13/04/2026</t>
  </si>
  <si>
    <t>16</t>
  </si>
  <si>
    <t>189</t>
  </si>
  <si>
    <t>17</t>
  </si>
  <si>
    <t>188</t>
  </si>
  <si>
    <t>18</t>
  </si>
  <si>
    <t>186</t>
  </si>
  <si>
    <t>19</t>
  </si>
  <si>
    <t>191</t>
  </si>
  <si>
    <t>17/04/2026</t>
  </si>
  <si>
    <t>20</t>
  </si>
  <si>
    <t>193</t>
  </si>
  <si>
    <t>21</t>
  </si>
  <si>
    <t>190</t>
  </si>
  <si>
    <t>22</t>
  </si>
  <si>
    <t>192</t>
  </si>
  <si>
    <t>194</t>
  </si>
  <si>
    <t>18/04/2026</t>
  </si>
  <si>
    <t>24</t>
  </si>
  <si>
    <t>195</t>
  </si>
  <si>
    <t>20/04/2026</t>
  </si>
  <si>
    <t>25</t>
  </si>
  <si>
    <t>196</t>
  </si>
  <si>
    <t>26</t>
  </si>
  <si>
    <t>197</t>
  </si>
  <si>
    <t>230</t>
  </si>
  <si>
    <t>21/05/2026</t>
  </si>
  <si>
    <t>28</t>
  </si>
  <si>
    <t>49</t>
  </si>
  <si>
    <t>231</t>
  </si>
  <si>
    <t>239</t>
  </si>
  <si>
    <t>22/05/2026</t>
  </si>
  <si>
    <t>240</t>
  </si>
  <si>
    <t>29</t>
  </si>
  <si>
    <t>243</t>
  </si>
  <si>
    <t>24/04/2026</t>
  </si>
  <si>
    <t>242</t>
  </si>
  <si>
    <t>16/05/2026</t>
  </si>
  <si>
    <t>30</t>
  </si>
  <si>
    <t>244</t>
  </si>
  <si>
    <t>47</t>
  </si>
  <si>
    <t>241</t>
  </si>
  <si>
    <t>24/05/2026</t>
  </si>
  <si>
    <t>31</t>
  </si>
  <si>
    <t>281</t>
  </si>
  <si>
    <t>32</t>
  </si>
  <si>
    <t>282</t>
  </si>
  <si>
    <t>25/04/2026</t>
  </si>
  <si>
    <t>33</t>
  </si>
  <si>
    <t>283</t>
  </si>
  <si>
    <t>34</t>
  </si>
  <si>
    <t>301</t>
  </si>
  <si>
    <t>27/04/2026</t>
  </si>
  <si>
    <t>35</t>
  </si>
  <si>
    <t>299</t>
  </si>
  <si>
    <t>36</t>
  </si>
  <si>
    <t>300</t>
  </si>
  <si>
    <t>37</t>
  </si>
  <si>
    <t>302</t>
  </si>
  <si>
    <t>28/04/2026</t>
  </si>
  <si>
    <t>38</t>
  </si>
  <si>
    <t>304</t>
  </si>
  <si>
    <t>39</t>
  </si>
  <si>
    <t>303</t>
  </si>
  <si>
    <t>40</t>
  </si>
  <si>
    <t>305</t>
  </si>
  <si>
    <t>29/04/2026</t>
  </si>
  <si>
    <t>41</t>
  </si>
  <si>
    <t>332</t>
  </si>
  <si>
    <t>30/04/2026</t>
  </si>
  <si>
    <t>Miracle Only Total</t>
  </si>
  <si>
    <t>302/2025-26</t>
  </si>
  <si>
    <t>06/03/2026</t>
  </si>
  <si>
    <t>ELITE DIAGNOSTICS</t>
  </si>
  <si>
    <t>27AFHPR7484K2ZL</t>
  </si>
  <si>
    <t>GSTR2B Only</t>
  </si>
  <si>
    <t>Mar'26</t>
  </si>
  <si>
    <t>SSR/2627/0042</t>
  </si>
  <si>
    <t>S S R FOOTCARE</t>
  </si>
  <si>
    <t>06/05/2026</t>
  </si>
  <si>
    <t>SSR/2627/0043</t>
  </si>
  <si>
    <t>SSR/2627/0044</t>
  </si>
  <si>
    <t>SSR/2627/0045</t>
  </si>
  <si>
    <t>SSR/2627/0046</t>
  </si>
  <si>
    <t>SSR/2627/0047</t>
  </si>
  <si>
    <t>SSR/2627/0048</t>
  </si>
  <si>
    <t>SSR/2627/0049</t>
  </si>
  <si>
    <t>SSR/2627/0050</t>
  </si>
  <si>
    <t>SSR/2627/0057</t>
  </si>
  <si>
    <t>023/2026-27</t>
  </si>
  <si>
    <t>04/05/2026</t>
  </si>
  <si>
    <t>SSR/2627/0058</t>
  </si>
  <si>
    <t>SSR/2627/0182</t>
  </si>
  <si>
    <t>SSR/2627/0183</t>
  </si>
  <si>
    <t>SSR/2627/0184</t>
  </si>
  <si>
    <t>SSR/2627/0185</t>
  </si>
  <si>
    <t>SSR/2627/0186</t>
  </si>
  <si>
    <t>SSR/2627/0187</t>
  </si>
  <si>
    <t>SSR/2627/0188</t>
  </si>
  <si>
    <t>SSR/2627/0189</t>
  </si>
  <si>
    <t>M06AI27I00961655</t>
  </si>
  <si>
    <t>MAKE MY TRIP (INDIA) PVT. LTD.</t>
  </si>
  <si>
    <t>06AADCM5146R1ZZ</t>
  </si>
  <si>
    <t>MH1262704AF82501</t>
  </si>
  <si>
    <t>INTERGLOBE AVIATION LIMITED</t>
  </si>
  <si>
    <t>27AABCI2726B1Z2</t>
  </si>
  <si>
    <t>MH2262704AA69482</t>
  </si>
  <si>
    <t>CNA</t>
  </si>
  <si>
    <t>SEZ supplies with payment</t>
  </si>
  <si>
    <t>SSR/2627/0190</t>
  </si>
  <si>
    <t>SSR/2627/0191</t>
  </si>
  <si>
    <t>SSR/2627/0192</t>
  </si>
  <si>
    <t>SSR/2627/0193</t>
  </si>
  <si>
    <t>SSR/2627/0194</t>
  </si>
  <si>
    <t>M06AI27I01140815</t>
  </si>
  <si>
    <t>19/04/2026</t>
  </si>
  <si>
    <t>MH1262704AH03047</t>
  </si>
  <si>
    <t>SSR/2627/0195</t>
  </si>
  <si>
    <t>SSR/2627/0196</t>
  </si>
  <si>
    <t>SSR/2627/0197</t>
  </si>
  <si>
    <t>049/2026-27</t>
  </si>
  <si>
    <t>SSR/2627/0230</t>
  </si>
  <si>
    <t>SSR/2627/0231</t>
  </si>
  <si>
    <t>SSR/2627/0239</t>
  </si>
  <si>
    <t>22/04/2026</t>
  </si>
  <si>
    <t>EPR2711360647875</t>
  </si>
  <si>
    <t>23/04/2026</t>
  </si>
  <si>
    <t>HDFC BANK LIMITED</t>
  </si>
  <si>
    <t>27AAACH2702H1Z0</t>
  </si>
  <si>
    <t>SSR/2627/0240</t>
  </si>
  <si>
    <t>SSR/2627/0241</t>
  </si>
  <si>
    <t>SSR/2627/0242</t>
  </si>
  <si>
    <t>SSR/2627/0243</t>
  </si>
  <si>
    <t>SSR/2627/0244</t>
  </si>
  <si>
    <t>SSR/2627/0245</t>
  </si>
  <si>
    <t>SSR/2627/0282</t>
  </si>
  <si>
    <t>SSR/2627/0283</t>
  </si>
  <si>
    <t>SSR/2627/0284</t>
  </si>
  <si>
    <t>SSR/2627/0281</t>
  </si>
  <si>
    <t>SSR/2627/0299</t>
  </si>
  <si>
    <t>SSR/2627/0300</t>
  </si>
  <si>
    <t>SSR/2627/0301</t>
  </si>
  <si>
    <t>064/2026-27</t>
  </si>
  <si>
    <t>SSR/2627/0302</t>
  </si>
  <si>
    <t>SSR/2627/0303</t>
  </si>
  <si>
    <t>SSR/2627/0304</t>
  </si>
  <si>
    <t>SSR/2627/0305</t>
  </si>
  <si>
    <t>MAP2712083204205</t>
  </si>
  <si>
    <t>27AAACH2702H3ZY</t>
  </si>
  <si>
    <t>SSR/2627/0332</t>
  </si>
  <si>
    <t>UPI2712081139366</t>
  </si>
  <si>
    <t>GSTR 2B Only Total</t>
  </si>
  <si>
    <t>Summary For Miracle Only</t>
  </si>
  <si>
    <t>Summary For 2B Only</t>
  </si>
  <si>
    <t>50</t>
  </si>
  <si>
    <t>51</t>
  </si>
  <si>
    <t>52</t>
  </si>
  <si>
    <t>53</t>
  </si>
  <si>
    <t>54</t>
  </si>
  <si>
    <t>55</t>
  </si>
  <si>
    <t>56</t>
  </si>
  <si>
    <t>59</t>
  </si>
  <si>
    <t>GSTR 2B Compact Summary</t>
  </si>
  <si>
    <t>RCM</t>
  </si>
  <si>
    <t>RCM%</t>
  </si>
  <si>
    <t>Miracle Only (Not in GSTR 2B)</t>
  </si>
  <si>
    <t>GSTR 2B Only(Not in Miracle)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</si>
</sst>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8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color rgb="FFFF0000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/>
    </xf>
    <xf numFmtId="15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0" borderId="0" xfId="0" applyFont="1"/>
    <xf numFmtId="15" fontId="3" fillId="0" borderId="0" xfId="0" applyNumberFormat="1" applyFont="1"/>
    <xf numFmtId="164" fontId="3" fillId="0" borderId="0" xfId="0" applyNumberFormat="1" applyFont="1"/>
    <xf numFmtId="164" fontId="1" fillId="0" borderId="0" xfId="0" applyNumberFormat="1" applyFont="1"/>
    <xf numFmtId="0" fontId="6" fillId="0" borderId="0" xfId="0" applyFont="1"/>
    <xf numFmtId="15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0" fontId="5" fillId="0" borderId="0" xfId="0" applyFont="1"/>
    <xf numFmtId="15" fontId="5" fillId="0" borderId="0" xfId="0" applyNumberFormat="1" applyFont="1"/>
    <xf numFmtId="164" fontId="5" fillId="0" borderId="0" xfId="0" applyNumberFormat="1" applyFont="1"/>
    <xf numFmtId="0" fontId="2" fillId="2" borderId="0" xfId="0" applyFont="1" applyFill="1"/>
    <xf numFmtId="0" fontId="0" fillId="0" borderId="0" xfId="0"/>
    <xf numFmtId="15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15" fontId="4" fillId="0" borderId="0" xfId="0" applyNumberFormat="1" applyFont="1"/>
    <xf numFmtId="164" fontId="4" fillId="0" borderId="0" xfId="0" applyNumberFormat="1" applyFont="1"/>
    <xf numFmtId="15" fontId="7" fillId="0" borderId="0" xfId="0" applyNumberFormat="1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9.140625" customWidth="1"/>
    <col min="2" max="2" width="10.28515625" customWidth="1"/>
    <col min="3" max="3" width="14.7109375" style="1" customWidth="1"/>
    <col min="4" max="4" width="10.85546875" customWidth="1"/>
    <col min="5" max="6" width="9.140625" customWidth="1"/>
    <col min="7" max="7" width="12.5703125" style="1" customWidth="1"/>
    <col min="8" max="8" width="19.5703125" customWidth="1"/>
    <col min="9" max="9" width="16.5703125" style="1" customWidth="1"/>
    <col min="10" max="10" width="9.140625" customWidth="1"/>
    <col min="11" max="11" width="14.5703125" customWidth="1"/>
    <col min="12" max="12" width="17.85546875" customWidth="1"/>
    <col min="13" max="13" width="15.28515625" customWidth="1"/>
    <col min="14" max="14" width="12.28515625" customWidth="1"/>
    <col min="15" max="15" width="12.7109375" customWidth="1"/>
    <col min="16" max="16" width="15.28515625" customWidth="1"/>
    <col min="17" max="17" width="9.85546875" style="2" customWidth="1"/>
    <col min="18" max="18" width="18.85546875" style="2" customWidth="1"/>
    <col min="19" max="19" width="14.42578125" style="2" customWidth="1"/>
    <col min="20" max="20" width="11.5703125" style="2" customWidth="1"/>
    <col min="21" max="21" width="13.140625" style="2" customWidth="1"/>
    <col min="22" max="22" width="9.140625" style="2" customWidth="1"/>
    <col min="23" max="23" width="9.5703125" style="2" customWidth="1"/>
    <col min="24" max="24" width="13.42578125" style="2" customWidth="1"/>
    <col min="25" max="25" width="18.28515625" customWidth="1"/>
    <col min="26" max="26" width="9.140625" customWidth="1"/>
    <col min="27" max="27" width="13.85546875" customWidth="1"/>
    <col min="28" max="28" width="16.140625" customWidth="1"/>
    <col min="29" max="29" width="19.85546875" style="1" customWidth="1"/>
    <col min="30" max="30" width="14.7109375" customWidth="1"/>
    <col min="31" max="31" width="9.140625" customWidth="1"/>
    <col min="32" max="32" width="23.42578125" customWidth="1"/>
    <col min="33" max="34" width="9.140625" customWidth="1"/>
    <col min="35" max="35" width="9.42578125" style="1" customWidth="1"/>
  </cols>
  <sheetData>
    <row r="1" spans="1:35" x14ac:dyDescent="0.25">
      <c r="A1" s="17" t="s">
        <v>0</v>
      </c>
      <c r="B1" s="18"/>
      <c r="C1" s="19"/>
    </row>
    <row r="2" spans="1:35" x14ac:dyDescent="0.25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3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4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4" t="s">
        <v>35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2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9.140625" customWidth="1"/>
    <col min="2" max="2" width="10.85546875" customWidth="1"/>
    <col min="3" max="4" width="9.140625" customWidth="1"/>
    <col min="5" max="5" width="12.5703125" style="1" customWidth="1"/>
    <col min="6" max="6" width="19.5703125" customWidth="1"/>
    <col min="7" max="7" width="16.5703125" style="1" customWidth="1"/>
    <col min="8" max="8" width="9.140625" customWidth="1"/>
    <col min="9" max="9" width="14.5703125" customWidth="1"/>
    <col min="10" max="10" width="17.85546875" customWidth="1"/>
    <col min="11" max="11" width="15.28515625" customWidth="1"/>
    <col min="12" max="12" width="12.28515625" customWidth="1"/>
    <col min="13" max="13" width="12.7109375" customWidth="1"/>
    <col min="14" max="14" width="15.28515625" customWidth="1"/>
    <col min="15" max="15" width="9.85546875" style="2" customWidth="1"/>
    <col min="16" max="16" width="18.85546875" style="2" customWidth="1"/>
    <col min="17" max="17" width="14.42578125" style="2" customWidth="1"/>
    <col min="18" max="18" width="11.5703125" style="2" customWidth="1"/>
    <col min="19" max="19" width="13.140625" style="2" customWidth="1"/>
    <col min="20" max="20" width="9.140625" style="2" customWidth="1"/>
    <col min="21" max="21" width="9.5703125" style="2" customWidth="1"/>
    <col min="22" max="22" width="13.42578125" style="2" customWidth="1"/>
    <col min="23" max="23" width="18.28515625" customWidth="1"/>
    <col min="24" max="24" width="9.140625" customWidth="1"/>
    <col min="25" max="25" width="13.85546875" customWidth="1"/>
    <col min="26" max="26" width="16.140625" customWidth="1"/>
    <col min="27" max="27" width="19.85546875" customWidth="1"/>
    <col min="28" max="28" width="14.7109375" customWidth="1"/>
    <col min="29" max="29" width="9.140625" customWidth="1"/>
    <col min="30" max="30" width="23.42578125" customWidth="1"/>
    <col min="31" max="32" width="9.140625" customWidth="1"/>
    <col min="33" max="33" width="9.42578125" customWidth="1"/>
  </cols>
  <sheetData>
    <row r="1" spans="1:33" x14ac:dyDescent="0.25">
      <c r="A1" s="17" t="s">
        <v>36</v>
      </c>
      <c r="B1" s="18"/>
      <c r="C1" s="18"/>
    </row>
    <row r="2" spans="1:33" x14ac:dyDescent="0.25">
      <c r="A2" s="3" t="s">
        <v>1</v>
      </c>
      <c r="B2" s="3" t="s">
        <v>4</v>
      </c>
      <c r="C2" s="3" t="s">
        <v>5</v>
      </c>
      <c r="D2" s="3" t="s">
        <v>6</v>
      </c>
      <c r="E2" s="4" t="s">
        <v>7</v>
      </c>
      <c r="F2" s="3" t="s">
        <v>8</v>
      </c>
      <c r="G2" s="4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"/>
  <sheetViews>
    <sheetView workbookViewId="0">
      <pane ySplit="2" topLeftCell="A3" activePane="bottomLeft" state="frozen"/>
      <selection pane="bottomLeft" activeCell="F20" sqref="F20"/>
    </sheetView>
  </sheetViews>
  <sheetFormatPr defaultRowHeight="15" x14ac:dyDescent="0.25"/>
  <cols>
    <col min="1" max="1" width="9.140625" customWidth="1"/>
    <col min="2" max="2" width="12.42578125" customWidth="1"/>
    <col min="3" max="3" width="9.140625" customWidth="1"/>
    <col min="4" max="4" width="9.28515625" customWidth="1"/>
    <col min="5" max="5" width="12.5703125" style="1" customWidth="1"/>
    <col min="6" max="6" width="19.5703125" customWidth="1"/>
    <col min="7" max="7" width="16.5703125" style="1" customWidth="1"/>
    <col min="8" max="8" width="9.140625" customWidth="1"/>
    <col min="9" max="9" width="26.42578125" customWidth="1"/>
    <col min="10" max="10" width="18.85546875" customWidth="1"/>
    <col min="11" max="11" width="15.5703125" customWidth="1"/>
    <col min="12" max="12" width="12.28515625" customWidth="1"/>
    <col min="13" max="13" width="12.7109375" customWidth="1"/>
    <col min="14" max="14" width="15.28515625" customWidth="1"/>
    <col min="15" max="15" width="9.85546875" style="2" customWidth="1"/>
    <col min="16" max="16" width="18.85546875" style="2" customWidth="1"/>
    <col min="17" max="17" width="14.42578125" style="2" customWidth="1"/>
    <col min="18" max="18" width="11.5703125" style="2" customWidth="1"/>
    <col min="19" max="19" width="13.140625" style="2" customWidth="1"/>
    <col min="20" max="20" width="9.140625" style="2" customWidth="1"/>
    <col min="21" max="21" width="9.5703125" style="2" customWidth="1"/>
    <col min="22" max="22" width="13.42578125" style="2" customWidth="1"/>
    <col min="23" max="23" width="18.28515625" customWidth="1"/>
    <col min="24" max="24" width="9.140625" customWidth="1"/>
    <col min="25" max="25" width="13.85546875" customWidth="1"/>
    <col min="26" max="26" width="16.140625" customWidth="1"/>
    <col min="27" max="27" width="19.85546875" customWidth="1"/>
    <col min="28" max="28" width="14.7109375" customWidth="1"/>
    <col min="29" max="29" width="9.140625" customWidth="1"/>
    <col min="30" max="30" width="23.42578125" customWidth="1"/>
    <col min="31" max="32" width="9.140625" customWidth="1"/>
    <col min="33" max="33" width="9.42578125" customWidth="1"/>
  </cols>
  <sheetData>
    <row r="1" spans="1:33" x14ac:dyDescent="0.25">
      <c r="A1" s="17" t="s">
        <v>37</v>
      </c>
      <c r="B1" s="18"/>
      <c r="C1" s="18"/>
    </row>
    <row r="2" spans="1:33" x14ac:dyDescent="0.25">
      <c r="A2" s="3" t="s">
        <v>1</v>
      </c>
      <c r="B2" s="3" t="s">
        <v>4</v>
      </c>
      <c r="C2" s="3" t="s">
        <v>5</v>
      </c>
      <c r="D2" s="3" t="s">
        <v>6</v>
      </c>
      <c r="E2" s="4" t="s">
        <v>7</v>
      </c>
      <c r="F2" s="3" t="s">
        <v>8</v>
      </c>
      <c r="G2" s="4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</row>
    <row r="3" spans="1:33" x14ac:dyDescent="0.25">
      <c r="A3" t="s">
        <v>38</v>
      </c>
      <c r="B3" t="s">
        <v>39</v>
      </c>
      <c r="C3" t="s">
        <v>40</v>
      </c>
      <c r="D3" t="s">
        <v>41</v>
      </c>
      <c r="E3" s="1" t="s">
        <v>42</v>
      </c>
      <c r="F3" t="s">
        <v>40</v>
      </c>
      <c r="G3" s="1" t="s">
        <v>40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s="2" t="s">
        <v>40</v>
      </c>
      <c r="P3" s="2">
        <v>3390</v>
      </c>
      <c r="Q3" s="2">
        <v>0</v>
      </c>
      <c r="R3" s="2">
        <v>305.10000000000002</v>
      </c>
      <c r="S3" s="2">
        <v>0</v>
      </c>
      <c r="T3" s="2">
        <v>305.10000000000002</v>
      </c>
      <c r="U3" s="2">
        <v>610.20000000000005</v>
      </c>
      <c r="V3" s="2">
        <v>4000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</row>
    <row r="4" spans="1:33" s="6" customFormat="1" x14ac:dyDescent="0.25">
      <c r="A4" s="6" t="s">
        <v>40</v>
      </c>
      <c r="B4" s="6" t="s">
        <v>50</v>
      </c>
      <c r="C4" s="6" t="s">
        <v>40</v>
      </c>
      <c r="D4" s="6" t="s">
        <v>51</v>
      </c>
      <c r="E4" s="7" t="s">
        <v>42</v>
      </c>
      <c r="F4" s="6" t="s">
        <v>40</v>
      </c>
      <c r="G4" s="7" t="s">
        <v>40</v>
      </c>
      <c r="H4" s="6" t="s">
        <v>43</v>
      </c>
      <c r="I4" s="6" t="s">
        <v>52</v>
      </c>
      <c r="J4" s="6" t="s">
        <v>45</v>
      </c>
      <c r="K4" s="6" t="s">
        <v>46</v>
      </c>
      <c r="L4" s="6" t="s">
        <v>47</v>
      </c>
      <c r="M4" s="6" t="s">
        <v>48</v>
      </c>
      <c r="N4" s="6" t="s">
        <v>49</v>
      </c>
      <c r="O4" s="8" t="s">
        <v>40</v>
      </c>
      <c r="P4" s="8">
        <v>3390</v>
      </c>
      <c r="Q4" s="8">
        <v>0</v>
      </c>
      <c r="R4" s="8">
        <v>305.10000000000002</v>
      </c>
      <c r="S4" s="8">
        <v>0</v>
      </c>
      <c r="T4" s="8">
        <v>305.10000000000002</v>
      </c>
      <c r="U4" s="8">
        <v>610.20000000000005</v>
      </c>
      <c r="V4" s="8">
        <v>4000</v>
      </c>
      <c r="W4" s="6" t="s">
        <v>49</v>
      </c>
      <c r="X4" s="6" t="s">
        <v>40</v>
      </c>
      <c r="Y4" s="6" t="s">
        <v>53</v>
      </c>
      <c r="Z4" s="6" t="s">
        <v>54</v>
      </c>
      <c r="AA4" s="6" t="s">
        <v>55</v>
      </c>
      <c r="AB4" s="6" t="s">
        <v>56</v>
      </c>
      <c r="AC4" s="6" t="s">
        <v>40</v>
      </c>
      <c r="AD4" s="6" t="s">
        <v>57</v>
      </c>
      <c r="AE4" s="6" t="s">
        <v>40</v>
      </c>
      <c r="AF4" s="6" t="s">
        <v>40</v>
      </c>
      <c r="AG4" s="6" t="s">
        <v>40</v>
      </c>
    </row>
    <row r="5" spans="1:33" x14ac:dyDescent="0.25">
      <c r="M5" s="20" t="s">
        <v>58</v>
      </c>
      <c r="N5" s="20" t="s">
        <v>58</v>
      </c>
      <c r="O5" s="21" t="s">
        <v>58</v>
      </c>
      <c r="P5" s="9">
        <v>3390</v>
      </c>
      <c r="Q5" s="9">
        <v>0</v>
      </c>
      <c r="R5" s="9">
        <v>305.10000000000002</v>
      </c>
      <c r="S5" s="9">
        <v>0</v>
      </c>
      <c r="T5" s="9">
        <v>305.10000000000002</v>
      </c>
      <c r="U5" s="9">
        <v>610.20000000000005</v>
      </c>
      <c r="V5" s="9">
        <v>4000</v>
      </c>
    </row>
    <row r="6" spans="1:33" x14ac:dyDescent="0.25">
      <c r="M6" s="20" t="s">
        <v>59</v>
      </c>
      <c r="N6" s="20" t="s">
        <v>59</v>
      </c>
      <c r="O6" s="21" t="s">
        <v>59</v>
      </c>
      <c r="P6" s="9">
        <v>3390</v>
      </c>
      <c r="Q6" s="9">
        <v>0</v>
      </c>
      <c r="R6" s="9">
        <v>305.10000000000002</v>
      </c>
      <c r="S6" s="9">
        <v>0</v>
      </c>
      <c r="T6" s="9">
        <v>305.10000000000002</v>
      </c>
      <c r="U6" s="9">
        <v>610.20000000000005</v>
      </c>
      <c r="V6" s="9">
        <v>4000</v>
      </c>
    </row>
    <row r="7" spans="1:33" x14ac:dyDescent="0.25">
      <c r="M7" s="20" t="s">
        <v>60</v>
      </c>
      <c r="N7" s="20" t="s">
        <v>60</v>
      </c>
      <c r="O7" s="21" t="s">
        <v>60</v>
      </c>
      <c r="P7" s="9">
        <f t="shared" ref="P7:V7" si="0">P5-P6</f>
        <v>0</v>
      </c>
      <c r="Q7" s="9">
        <f t="shared" si="0"/>
        <v>0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0"/>
        <v>0</v>
      </c>
    </row>
  </sheetData>
  <mergeCells count="4">
    <mergeCell ref="A1:C1"/>
    <mergeCell ref="M5:O5"/>
    <mergeCell ref="M6:O6"/>
    <mergeCell ref="M7:O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6"/>
  <sheetViews>
    <sheetView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9.140625" customWidth="1"/>
    <col min="2" max="2" width="20.28515625" customWidth="1"/>
    <col min="3" max="3" width="9.140625" customWidth="1"/>
    <col min="4" max="4" width="9.28515625" customWidth="1"/>
    <col min="5" max="5" width="12.5703125" style="1" customWidth="1"/>
    <col min="6" max="6" width="19.5703125" customWidth="1"/>
    <col min="7" max="7" width="16.5703125" style="1" customWidth="1"/>
    <col min="8" max="8" width="9.140625" customWidth="1"/>
    <col min="9" max="9" width="30" customWidth="1"/>
    <col min="10" max="10" width="19.140625" customWidth="1"/>
    <col min="11" max="11" width="15.5703125" customWidth="1"/>
    <col min="12" max="12" width="12.28515625" customWidth="1"/>
    <col min="13" max="13" width="24.7109375" customWidth="1"/>
    <col min="14" max="14" width="15.28515625" customWidth="1"/>
    <col min="15" max="15" width="9.85546875" style="2" customWidth="1"/>
    <col min="16" max="16" width="18.85546875" style="2" customWidth="1"/>
    <col min="17" max="17" width="14.42578125" style="2" customWidth="1"/>
    <col min="18" max="18" width="11.5703125" style="2" customWidth="1"/>
    <col min="19" max="19" width="13.140625" style="2" customWidth="1"/>
    <col min="20" max="20" width="9.140625" style="2" customWidth="1"/>
    <col min="21" max="21" width="9.5703125" style="2" customWidth="1"/>
    <col min="22" max="22" width="13.42578125" style="2" customWidth="1"/>
    <col min="23" max="23" width="10.28515625" customWidth="1"/>
    <col min="24" max="24" width="9.140625" customWidth="1"/>
    <col min="25" max="25" width="18.28515625" customWidth="1"/>
    <col min="26" max="26" width="9.140625" customWidth="1"/>
    <col min="27" max="27" width="15.42578125" customWidth="1"/>
    <col min="28" max="28" width="13.85546875" customWidth="1"/>
    <col min="29" max="29" width="16.140625" customWidth="1"/>
    <col min="30" max="30" width="19.85546875" customWidth="1"/>
    <col min="31" max="31" width="14.7109375" customWidth="1"/>
    <col min="32" max="32" width="9.140625" customWidth="1"/>
    <col min="33" max="33" width="23.42578125" customWidth="1"/>
    <col min="34" max="35" width="9.140625" customWidth="1"/>
    <col min="36" max="36" width="9.42578125" customWidth="1"/>
  </cols>
  <sheetData>
    <row r="1" spans="1:36" x14ac:dyDescent="0.25">
      <c r="A1" s="17" t="s">
        <v>61</v>
      </c>
      <c r="B1" s="18"/>
      <c r="C1" s="18"/>
    </row>
    <row r="2" spans="1:36" x14ac:dyDescent="0.25">
      <c r="A2" s="3" t="s">
        <v>1</v>
      </c>
      <c r="B2" s="3" t="s">
        <v>4</v>
      </c>
      <c r="C2" s="3" t="s">
        <v>5</v>
      </c>
      <c r="D2" s="3" t="s">
        <v>6</v>
      </c>
      <c r="E2" s="4" t="s">
        <v>7</v>
      </c>
      <c r="F2" s="3" t="s">
        <v>8</v>
      </c>
      <c r="G2" s="4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3" t="s">
        <v>62</v>
      </c>
      <c r="X2" s="3" t="s">
        <v>63</v>
      </c>
      <c r="Y2" s="3" t="s">
        <v>25</v>
      </c>
      <c r="Z2" s="3" t="s">
        <v>26</v>
      </c>
      <c r="AA2" s="3" t="s">
        <v>64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</row>
    <row r="3" spans="1:36" x14ac:dyDescent="0.25">
      <c r="A3" t="s">
        <v>38</v>
      </c>
      <c r="B3" t="s">
        <v>39</v>
      </c>
      <c r="C3" t="s">
        <v>40</v>
      </c>
      <c r="D3" t="s">
        <v>41</v>
      </c>
      <c r="E3" s="1" t="s">
        <v>42</v>
      </c>
      <c r="F3" t="s">
        <v>40</v>
      </c>
      <c r="G3" s="1" t="s">
        <v>40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s="2" t="s">
        <v>40</v>
      </c>
      <c r="P3" s="2">
        <v>3390</v>
      </c>
      <c r="Q3" s="2">
        <v>0</v>
      </c>
      <c r="R3" s="2">
        <v>305.10000000000002</v>
      </c>
      <c r="S3" s="2">
        <v>305.10000000000002</v>
      </c>
      <c r="T3" s="2">
        <v>0</v>
      </c>
      <c r="U3" s="2">
        <v>610.20000000000005</v>
      </c>
      <c r="V3" s="2">
        <v>4000</v>
      </c>
      <c r="W3" t="s">
        <v>40</v>
      </c>
      <c r="X3" t="s">
        <v>40</v>
      </c>
      <c r="Y3" t="s">
        <v>40</v>
      </c>
      <c r="Z3" t="s">
        <v>40</v>
      </c>
      <c r="AA3" t="s">
        <v>65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</row>
    <row r="4" spans="1:36" s="6" customFormat="1" x14ac:dyDescent="0.25">
      <c r="A4" s="6" t="s">
        <v>40</v>
      </c>
      <c r="B4" s="6" t="s">
        <v>50</v>
      </c>
      <c r="C4" s="6" t="s">
        <v>40</v>
      </c>
      <c r="D4" s="6" t="s">
        <v>51</v>
      </c>
      <c r="E4" s="7" t="s">
        <v>42</v>
      </c>
      <c r="F4" s="6" t="s">
        <v>40</v>
      </c>
      <c r="G4" s="7" t="s">
        <v>40</v>
      </c>
      <c r="H4" s="6" t="s">
        <v>43</v>
      </c>
      <c r="I4" s="6" t="s">
        <v>52</v>
      </c>
      <c r="J4" s="6" t="s">
        <v>45</v>
      </c>
      <c r="K4" s="6" t="s">
        <v>46</v>
      </c>
      <c r="L4" s="6" t="s">
        <v>47</v>
      </c>
      <c r="M4" s="6" t="s">
        <v>48</v>
      </c>
      <c r="N4" s="6" t="s">
        <v>49</v>
      </c>
      <c r="O4" s="8" t="s">
        <v>40</v>
      </c>
      <c r="P4" s="8">
        <v>3390</v>
      </c>
      <c r="Q4" s="8">
        <v>0</v>
      </c>
      <c r="R4" s="8">
        <v>305.10000000000002</v>
      </c>
      <c r="S4" s="8">
        <v>305.10000000000002</v>
      </c>
      <c r="T4" s="8">
        <v>0</v>
      </c>
      <c r="U4" s="8">
        <v>610.20000000000005</v>
      </c>
      <c r="V4" s="8">
        <v>4000</v>
      </c>
      <c r="W4" s="6" t="s">
        <v>40</v>
      </c>
      <c r="X4" s="6" t="s">
        <v>40</v>
      </c>
      <c r="Y4" s="6" t="s">
        <v>49</v>
      </c>
      <c r="Z4" s="6" t="s">
        <v>40</v>
      </c>
      <c r="AA4" s="6" t="s">
        <v>65</v>
      </c>
      <c r="AB4" s="6" t="s">
        <v>53</v>
      </c>
      <c r="AC4" s="6" t="s">
        <v>54</v>
      </c>
      <c r="AD4" s="6" t="s">
        <v>55</v>
      </c>
      <c r="AE4" s="6" t="s">
        <v>56</v>
      </c>
      <c r="AF4" s="6" t="s">
        <v>40</v>
      </c>
      <c r="AG4" s="6" t="s">
        <v>57</v>
      </c>
      <c r="AH4" s="6" t="s">
        <v>40</v>
      </c>
      <c r="AI4" s="6" t="s">
        <v>40</v>
      </c>
      <c r="AJ4" s="6" t="s">
        <v>40</v>
      </c>
    </row>
    <row r="5" spans="1:36" x14ac:dyDescent="0.25">
      <c r="M5" s="20" t="s">
        <v>58</v>
      </c>
      <c r="N5" s="20" t="s">
        <v>58</v>
      </c>
      <c r="O5" s="21" t="s">
        <v>58</v>
      </c>
      <c r="P5" s="9">
        <v>3390</v>
      </c>
      <c r="Q5" s="9">
        <v>0</v>
      </c>
      <c r="R5" s="9">
        <v>305.10000000000002</v>
      </c>
      <c r="S5" s="9">
        <v>305.10000000000002</v>
      </c>
      <c r="T5" s="9">
        <v>0</v>
      </c>
      <c r="U5" s="9">
        <v>610.20000000000005</v>
      </c>
      <c r="V5" s="9">
        <v>4000</v>
      </c>
    </row>
    <row r="6" spans="1:36" x14ac:dyDescent="0.25">
      <c r="M6" s="20" t="s">
        <v>59</v>
      </c>
      <c r="N6" s="20" t="s">
        <v>59</v>
      </c>
      <c r="O6" s="21" t="s">
        <v>59</v>
      </c>
      <c r="P6" s="9">
        <v>3390</v>
      </c>
      <c r="Q6" s="9">
        <v>0</v>
      </c>
      <c r="R6" s="9">
        <v>305.10000000000002</v>
      </c>
      <c r="S6" s="9">
        <v>305.10000000000002</v>
      </c>
      <c r="T6" s="9">
        <v>0</v>
      </c>
      <c r="U6" s="9">
        <v>610.20000000000005</v>
      </c>
      <c r="V6" s="9">
        <v>4000</v>
      </c>
    </row>
    <row r="7" spans="1:36" x14ac:dyDescent="0.25">
      <c r="M7" s="20" t="s">
        <v>60</v>
      </c>
      <c r="N7" s="20" t="s">
        <v>60</v>
      </c>
      <c r="O7" s="21" t="s">
        <v>60</v>
      </c>
      <c r="P7" s="9">
        <f t="shared" ref="P7:V7" si="0">P5-P6</f>
        <v>0</v>
      </c>
      <c r="Q7" s="9">
        <f t="shared" si="0"/>
        <v>0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0"/>
        <v>0</v>
      </c>
    </row>
    <row r="9" spans="1:36" x14ac:dyDescent="0.25">
      <c r="A9" t="s">
        <v>66</v>
      </c>
      <c r="B9" t="s">
        <v>67</v>
      </c>
      <c r="C9" t="s">
        <v>40</v>
      </c>
      <c r="D9" t="s">
        <v>41</v>
      </c>
      <c r="E9" s="1" t="s">
        <v>68</v>
      </c>
      <c r="F9" t="s">
        <v>40</v>
      </c>
      <c r="G9" s="1" t="s">
        <v>40</v>
      </c>
      <c r="H9" t="s">
        <v>43</v>
      </c>
      <c r="I9" t="s">
        <v>69</v>
      </c>
      <c r="J9" t="s">
        <v>70</v>
      </c>
      <c r="K9" t="s">
        <v>46</v>
      </c>
      <c r="L9" t="s">
        <v>47</v>
      </c>
      <c r="M9" t="s">
        <v>48</v>
      </c>
      <c r="N9" t="s">
        <v>49</v>
      </c>
      <c r="O9" s="2" t="s">
        <v>40</v>
      </c>
      <c r="P9" s="2">
        <v>16381.65</v>
      </c>
      <c r="Q9" s="2">
        <v>0</v>
      </c>
      <c r="R9" s="2">
        <v>409.54</v>
      </c>
      <c r="S9" s="2">
        <v>409.54</v>
      </c>
      <c r="T9" s="2">
        <v>0</v>
      </c>
      <c r="U9" s="2">
        <v>819.08</v>
      </c>
      <c r="V9" s="2">
        <v>17201</v>
      </c>
      <c r="W9" t="s">
        <v>40</v>
      </c>
      <c r="X9" t="s">
        <v>40</v>
      </c>
      <c r="Y9" t="s">
        <v>40</v>
      </c>
      <c r="Z9" t="s">
        <v>40</v>
      </c>
      <c r="AA9" t="s">
        <v>71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</row>
    <row r="10" spans="1:36" x14ac:dyDescent="0.25">
      <c r="A10" t="s">
        <v>72</v>
      </c>
      <c r="B10" t="s">
        <v>73</v>
      </c>
      <c r="C10" t="s">
        <v>40</v>
      </c>
      <c r="D10" t="s">
        <v>41</v>
      </c>
      <c r="E10" s="1" t="s">
        <v>74</v>
      </c>
      <c r="F10" t="s">
        <v>40</v>
      </c>
      <c r="G10" s="1" t="s">
        <v>40</v>
      </c>
      <c r="H10" t="s">
        <v>43</v>
      </c>
      <c r="I10" t="s">
        <v>75</v>
      </c>
      <c r="J10" t="s">
        <v>76</v>
      </c>
      <c r="K10" t="s">
        <v>46</v>
      </c>
      <c r="L10" t="s">
        <v>77</v>
      </c>
      <c r="M10" t="s">
        <v>48</v>
      </c>
      <c r="N10" t="s">
        <v>49</v>
      </c>
      <c r="O10" s="2" t="s">
        <v>40</v>
      </c>
      <c r="P10" s="2">
        <v>1800</v>
      </c>
      <c r="Q10" s="2">
        <v>90</v>
      </c>
      <c r="R10" s="2">
        <v>0</v>
      </c>
      <c r="S10" s="2">
        <v>0</v>
      </c>
      <c r="T10" s="2">
        <v>0</v>
      </c>
      <c r="U10" s="2">
        <v>90</v>
      </c>
      <c r="V10" s="2">
        <v>1890</v>
      </c>
      <c r="W10" t="s">
        <v>40</v>
      </c>
      <c r="X10" t="s">
        <v>40</v>
      </c>
      <c r="Y10" t="s">
        <v>40</v>
      </c>
      <c r="Z10" t="s">
        <v>40</v>
      </c>
      <c r="AA10" t="s">
        <v>71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</row>
    <row r="11" spans="1:36" x14ac:dyDescent="0.25">
      <c r="A11" t="s">
        <v>78</v>
      </c>
      <c r="B11" t="s">
        <v>79</v>
      </c>
      <c r="C11" t="s">
        <v>40</v>
      </c>
      <c r="D11" t="s">
        <v>41</v>
      </c>
      <c r="E11" s="1" t="s">
        <v>74</v>
      </c>
      <c r="F11" t="s">
        <v>40</v>
      </c>
      <c r="G11" s="1" t="s">
        <v>40</v>
      </c>
      <c r="H11" t="s">
        <v>43</v>
      </c>
      <c r="I11" t="s">
        <v>75</v>
      </c>
      <c r="J11" t="s">
        <v>76</v>
      </c>
      <c r="K11" t="s">
        <v>46</v>
      </c>
      <c r="L11" t="s">
        <v>77</v>
      </c>
      <c r="M11" t="s">
        <v>48</v>
      </c>
      <c r="N11" t="s">
        <v>49</v>
      </c>
      <c r="O11" s="2" t="s">
        <v>40</v>
      </c>
      <c r="P11" s="2">
        <v>3500</v>
      </c>
      <c r="Q11" s="2">
        <v>175</v>
      </c>
      <c r="R11" s="2">
        <v>0</v>
      </c>
      <c r="S11" s="2">
        <v>0</v>
      </c>
      <c r="T11" s="2">
        <v>0</v>
      </c>
      <c r="U11" s="2">
        <v>175</v>
      </c>
      <c r="V11" s="2">
        <v>3675</v>
      </c>
      <c r="W11" t="s">
        <v>40</v>
      </c>
      <c r="X11" t="s">
        <v>40</v>
      </c>
      <c r="Y11" t="s">
        <v>40</v>
      </c>
      <c r="Z11" t="s">
        <v>40</v>
      </c>
      <c r="AA11" t="s">
        <v>71</v>
      </c>
      <c r="AB11" t="s">
        <v>40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</row>
    <row r="12" spans="1:36" x14ac:dyDescent="0.25">
      <c r="A12" t="s">
        <v>80</v>
      </c>
      <c r="B12" t="s">
        <v>81</v>
      </c>
      <c r="C12" t="s">
        <v>40</v>
      </c>
      <c r="D12" t="s">
        <v>41</v>
      </c>
      <c r="E12" s="1" t="s">
        <v>74</v>
      </c>
      <c r="F12" t="s">
        <v>40</v>
      </c>
      <c r="G12" s="1" t="s">
        <v>40</v>
      </c>
      <c r="H12" t="s">
        <v>43</v>
      </c>
      <c r="I12" t="s">
        <v>75</v>
      </c>
      <c r="J12" t="s">
        <v>76</v>
      </c>
      <c r="K12" t="s">
        <v>46</v>
      </c>
      <c r="L12" t="s">
        <v>77</v>
      </c>
      <c r="M12" t="s">
        <v>48</v>
      </c>
      <c r="N12" t="s">
        <v>49</v>
      </c>
      <c r="O12" s="2" t="s">
        <v>40</v>
      </c>
      <c r="P12" s="2">
        <v>2800</v>
      </c>
      <c r="Q12" s="2">
        <v>140</v>
      </c>
      <c r="R12" s="2">
        <v>0</v>
      </c>
      <c r="S12" s="2">
        <v>0</v>
      </c>
      <c r="T12" s="2">
        <v>0</v>
      </c>
      <c r="U12" s="2">
        <v>140</v>
      </c>
      <c r="V12" s="2">
        <v>2940</v>
      </c>
      <c r="W12" t="s">
        <v>40</v>
      </c>
      <c r="X12" t="s">
        <v>40</v>
      </c>
      <c r="Y12" t="s">
        <v>40</v>
      </c>
      <c r="Z12" t="s">
        <v>40</v>
      </c>
      <c r="AA12" t="s">
        <v>71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</row>
    <row r="13" spans="1:36" x14ac:dyDescent="0.25">
      <c r="A13" t="s">
        <v>82</v>
      </c>
      <c r="B13" t="s">
        <v>83</v>
      </c>
      <c r="C13" t="s">
        <v>40</v>
      </c>
      <c r="D13" t="s">
        <v>41</v>
      </c>
      <c r="E13" s="1" t="s">
        <v>74</v>
      </c>
      <c r="F13" t="s">
        <v>40</v>
      </c>
      <c r="G13" s="1" t="s">
        <v>40</v>
      </c>
      <c r="H13" t="s">
        <v>43</v>
      </c>
      <c r="I13" t="s">
        <v>75</v>
      </c>
      <c r="J13" t="s">
        <v>76</v>
      </c>
      <c r="K13" t="s">
        <v>46</v>
      </c>
      <c r="L13" t="s">
        <v>77</v>
      </c>
      <c r="M13" t="s">
        <v>48</v>
      </c>
      <c r="N13" t="s">
        <v>49</v>
      </c>
      <c r="O13" s="2" t="s">
        <v>40</v>
      </c>
      <c r="P13" s="2">
        <v>2500</v>
      </c>
      <c r="Q13" s="2">
        <v>125</v>
      </c>
      <c r="R13" s="2">
        <v>0</v>
      </c>
      <c r="S13" s="2">
        <v>0</v>
      </c>
      <c r="T13" s="2">
        <v>0</v>
      </c>
      <c r="U13" s="2">
        <v>125</v>
      </c>
      <c r="V13" s="2">
        <v>2625</v>
      </c>
      <c r="W13" t="s">
        <v>40</v>
      </c>
      <c r="X13" t="s">
        <v>40</v>
      </c>
      <c r="Y13" t="s">
        <v>40</v>
      </c>
      <c r="Z13" t="s">
        <v>40</v>
      </c>
      <c r="AA13" t="s">
        <v>71</v>
      </c>
      <c r="AB13" t="s">
        <v>40</v>
      </c>
      <c r="AC13" t="s">
        <v>40</v>
      </c>
      <c r="AD13" t="s">
        <v>40</v>
      </c>
      <c r="AE13" t="s">
        <v>40</v>
      </c>
      <c r="AF13" t="s">
        <v>40</v>
      </c>
      <c r="AG13" t="s">
        <v>40</v>
      </c>
      <c r="AH13" t="s">
        <v>40</v>
      </c>
      <c r="AI13" t="s">
        <v>40</v>
      </c>
      <c r="AJ13" t="s">
        <v>40</v>
      </c>
    </row>
    <row r="14" spans="1:36" x14ac:dyDescent="0.25">
      <c r="A14" t="s">
        <v>84</v>
      </c>
      <c r="B14" t="s">
        <v>85</v>
      </c>
      <c r="C14" t="s">
        <v>40</v>
      </c>
      <c r="D14" t="s">
        <v>41</v>
      </c>
      <c r="E14" s="1" t="s">
        <v>74</v>
      </c>
      <c r="F14" t="s">
        <v>40</v>
      </c>
      <c r="G14" s="1" t="s">
        <v>40</v>
      </c>
      <c r="H14" t="s">
        <v>43</v>
      </c>
      <c r="I14" t="s">
        <v>75</v>
      </c>
      <c r="J14" t="s">
        <v>76</v>
      </c>
      <c r="K14" t="s">
        <v>46</v>
      </c>
      <c r="L14" t="s">
        <v>77</v>
      </c>
      <c r="M14" t="s">
        <v>48</v>
      </c>
      <c r="N14" t="s">
        <v>49</v>
      </c>
      <c r="O14" s="2" t="s">
        <v>40</v>
      </c>
      <c r="P14" s="2">
        <v>2500</v>
      </c>
      <c r="Q14" s="2">
        <v>125</v>
      </c>
      <c r="R14" s="2">
        <v>0</v>
      </c>
      <c r="S14" s="2">
        <v>0</v>
      </c>
      <c r="T14" s="2">
        <v>0</v>
      </c>
      <c r="U14" s="2">
        <v>125</v>
      </c>
      <c r="V14" s="2">
        <v>2625</v>
      </c>
      <c r="W14" t="s">
        <v>40</v>
      </c>
      <c r="X14" t="s">
        <v>40</v>
      </c>
      <c r="Y14" t="s">
        <v>40</v>
      </c>
      <c r="Z14" t="s">
        <v>40</v>
      </c>
      <c r="AA14" t="s">
        <v>71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t="s">
        <v>40</v>
      </c>
      <c r="AI14" t="s">
        <v>40</v>
      </c>
      <c r="AJ14" t="s">
        <v>40</v>
      </c>
    </row>
    <row r="15" spans="1:36" x14ac:dyDescent="0.25">
      <c r="A15" t="s">
        <v>86</v>
      </c>
      <c r="B15" t="s">
        <v>87</v>
      </c>
      <c r="C15" t="s">
        <v>40</v>
      </c>
      <c r="D15" t="s">
        <v>41</v>
      </c>
      <c r="E15" s="1" t="s">
        <v>88</v>
      </c>
      <c r="F15" t="s">
        <v>40</v>
      </c>
      <c r="G15" s="1" t="s">
        <v>40</v>
      </c>
      <c r="H15" t="s">
        <v>43</v>
      </c>
      <c r="I15" t="s">
        <v>75</v>
      </c>
      <c r="J15" t="s">
        <v>76</v>
      </c>
      <c r="K15" t="s">
        <v>46</v>
      </c>
      <c r="L15" t="s">
        <v>77</v>
      </c>
      <c r="M15" t="s">
        <v>48</v>
      </c>
      <c r="N15" t="s">
        <v>49</v>
      </c>
      <c r="O15" s="2" t="s">
        <v>40</v>
      </c>
      <c r="P15" s="2">
        <v>3000</v>
      </c>
      <c r="Q15" s="2">
        <v>150</v>
      </c>
      <c r="R15" s="2">
        <v>0</v>
      </c>
      <c r="S15" s="2">
        <v>0</v>
      </c>
      <c r="T15" s="2">
        <v>0</v>
      </c>
      <c r="U15" s="2">
        <v>150</v>
      </c>
      <c r="V15" s="2">
        <v>3150</v>
      </c>
      <c r="W15" t="s">
        <v>40</v>
      </c>
      <c r="X15" t="s">
        <v>40</v>
      </c>
      <c r="Y15" t="s">
        <v>40</v>
      </c>
      <c r="Z15" t="s">
        <v>40</v>
      </c>
      <c r="AA15" t="s">
        <v>71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40</v>
      </c>
    </row>
    <row r="16" spans="1:36" x14ac:dyDescent="0.25">
      <c r="A16" t="s">
        <v>89</v>
      </c>
      <c r="B16" t="s">
        <v>90</v>
      </c>
      <c r="C16" t="s">
        <v>40</v>
      </c>
      <c r="D16" t="s">
        <v>41</v>
      </c>
      <c r="E16" s="1" t="s">
        <v>91</v>
      </c>
      <c r="F16" t="s">
        <v>40</v>
      </c>
      <c r="G16" s="1" t="s">
        <v>40</v>
      </c>
      <c r="H16" t="s">
        <v>43</v>
      </c>
      <c r="I16" t="s">
        <v>75</v>
      </c>
      <c r="J16" t="s">
        <v>76</v>
      </c>
      <c r="K16" t="s">
        <v>46</v>
      </c>
      <c r="L16" t="s">
        <v>77</v>
      </c>
      <c r="M16" t="s">
        <v>48</v>
      </c>
      <c r="N16" t="s">
        <v>49</v>
      </c>
      <c r="O16" s="2" t="s">
        <v>40</v>
      </c>
      <c r="P16" s="2">
        <v>2800</v>
      </c>
      <c r="Q16" s="2">
        <v>140</v>
      </c>
      <c r="R16" s="2">
        <v>0</v>
      </c>
      <c r="S16" s="2">
        <v>0</v>
      </c>
      <c r="T16" s="2">
        <v>0</v>
      </c>
      <c r="U16" s="2">
        <v>140</v>
      </c>
      <c r="V16" s="2">
        <v>2940</v>
      </c>
      <c r="W16" t="s">
        <v>40</v>
      </c>
      <c r="X16" t="s">
        <v>40</v>
      </c>
      <c r="Y16" t="s">
        <v>40</v>
      </c>
      <c r="Z16" t="s">
        <v>40</v>
      </c>
      <c r="AA16" t="s">
        <v>71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40</v>
      </c>
    </row>
    <row r="17" spans="1:36" x14ac:dyDescent="0.25">
      <c r="A17" t="s">
        <v>92</v>
      </c>
      <c r="B17" t="s">
        <v>93</v>
      </c>
      <c r="C17" t="s">
        <v>40</v>
      </c>
      <c r="D17" t="s">
        <v>41</v>
      </c>
      <c r="E17" s="1" t="s">
        <v>94</v>
      </c>
      <c r="F17" t="s">
        <v>40</v>
      </c>
      <c r="G17" s="1" t="s">
        <v>40</v>
      </c>
      <c r="H17" t="s">
        <v>43</v>
      </c>
      <c r="I17" t="s">
        <v>95</v>
      </c>
      <c r="J17" t="s">
        <v>40</v>
      </c>
      <c r="K17" t="s">
        <v>46</v>
      </c>
      <c r="L17" t="s">
        <v>47</v>
      </c>
      <c r="M17" t="s">
        <v>48</v>
      </c>
      <c r="N17" t="s">
        <v>49</v>
      </c>
      <c r="O17" s="2" t="s">
        <v>40</v>
      </c>
      <c r="P17" s="2">
        <v>37142.9</v>
      </c>
      <c r="Q17" s="2">
        <v>0</v>
      </c>
      <c r="R17" s="2">
        <v>928.57</v>
      </c>
      <c r="S17" s="2">
        <v>928.57</v>
      </c>
      <c r="T17" s="2">
        <v>0</v>
      </c>
      <c r="U17" s="2">
        <v>1857.14</v>
      </c>
      <c r="V17" s="2">
        <v>39000</v>
      </c>
      <c r="W17" t="s">
        <v>40</v>
      </c>
      <c r="X17" t="s">
        <v>40</v>
      </c>
      <c r="Y17" t="s">
        <v>40</v>
      </c>
      <c r="Z17" t="s">
        <v>40</v>
      </c>
      <c r="AA17" t="s">
        <v>71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</row>
    <row r="18" spans="1:36" x14ac:dyDescent="0.25">
      <c r="A18" t="s">
        <v>96</v>
      </c>
      <c r="B18" t="s">
        <v>97</v>
      </c>
      <c r="C18" t="s">
        <v>40</v>
      </c>
      <c r="D18" t="s">
        <v>41</v>
      </c>
      <c r="E18" s="1" t="s">
        <v>98</v>
      </c>
      <c r="F18" t="s">
        <v>40</v>
      </c>
      <c r="G18" s="1" t="s">
        <v>40</v>
      </c>
      <c r="H18" t="s">
        <v>43</v>
      </c>
      <c r="I18" t="s">
        <v>75</v>
      </c>
      <c r="J18" t="s">
        <v>76</v>
      </c>
      <c r="K18" t="s">
        <v>46</v>
      </c>
      <c r="L18" t="s">
        <v>77</v>
      </c>
      <c r="M18" t="s">
        <v>48</v>
      </c>
      <c r="N18" t="s">
        <v>49</v>
      </c>
      <c r="O18" s="2" t="s">
        <v>40</v>
      </c>
      <c r="P18" s="2">
        <v>1500</v>
      </c>
      <c r="Q18" s="2">
        <v>75</v>
      </c>
      <c r="R18" s="2">
        <v>0</v>
      </c>
      <c r="S18" s="2">
        <v>0</v>
      </c>
      <c r="T18" s="2">
        <v>0</v>
      </c>
      <c r="U18" s="2">
        <v>75</v>
      </c>
      <c r="V18" s="2">
        <v>1575</v>
      </c>
      <c r="W18" t="s">
        <v>40</v>
      </c>
      <c r="X18" t="s">
        <v>40</v>
      </c>
      <c r="Y18" t="s">
        <v>40</v>
      </c>
      <c r="Z18" t="s">
        <v>40</v>
      </c>
      <c r="AA18" t="s">
        <v>71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40</v>
      </c>
    </row>
    <row r="19" spans="1:36" x14ac:dyDescent="0.25">
      <c r="A19" t="s">
        <v>99</v>
      </c>
      <c r="B19" t="s">
        <v>100</v>
      </c>
      <c r="C19" t="s">
        <v>40</v>
      </c>
      <c r="D19" t="s">
        <v>41</v>
      </c>
      <c r="E19" s="1" t="s">
        <v>101</v>
      </c>
      <c r="F19" t="s">
        <v>40</v>
      </c>
      <c r="G19" s="1" t="s">
        <v>40</v>
      </c>
      <c r="H19" t="s">
        <v>43</v>
      </c>
      <c r="I19" t="s">
        <v>75</v>
      </c>
      <c r="J19" t="s">
        <v>76</v>
      </c>
      <c r="K19" t="s">
        <v>46</v>
      </c>
      <c r="L19" t="s">
        <v>77</v>
      </c>
      <c r="M19" t="s">
        <v>48</v>
      </c>
      <c r="N19" t="s">
        <v>49</v>
      </c>
      <c r="O19" s="2" t="s">
        <v>40</v>
      </c>
      <c r="P19" s="2">
        <v>1500</v>
      </c>
      <c r="Q19" s="2">
        <v>75</v>
      </c>
      <c r="R19" s="2">
        <v>0</v>
      </c>
      <c r="S19" s="2">
        <v>0</v>
      </c>
      <c r="T19" s="2">
        <v>0</v>
      </c>
      <c r="U19" s="2">
        <v>75</v>
      </c>
      <c r="V19" s="2">
        <v>1575</v>
      </c>
      <c r="W19" t="s">
        <v>40</v>
      </c>
      <c r="X19" t="s">
        <v>40</v>
      </c>
      <c r="Y19" t="s">
        <v>40</v>
      </c>
      <c r="Z19" t="s">
        <v>40</v>
      </c>
      <c r="AA19" t="s">
        <v>71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</row>
    <row r="20" spans="1:36" x14ac:dyDescent="0.25">
      <c r="A20" t="s">
        <v>102</v>
      </c>
      <c r="B20" t="s">
        <v>103</v>
      </c>
      <c r="C20" t="s">
        <v>40</v>
      </c>
      <c r="D20" t="s">
        <v>41</v>
      </c>
      <c r="E20" s="1" t="s">
        <v>101</v>
      </c>
      <c r="F20" t="s">
        <v>40</v>
      </c>
      <c r="G20" s="1" t="s">
        <v>40</v>
      </c>
      <c r="H20" t="s">
        <v>43</v>
      </c>
      <c r="I20" t="s">
        <v>75</v>
      </c>
      <c r="J20" t="s">
        <v>76</v>
      </c>
      <c r="K20" t="s">
        <v>46</v>
      </c>
      <c r="L20" t="s">
        <v>77</v>
      </c>
      <c r="M20" t="s">
        <v>48</v>
      </c>
      <c r="N20" t="s">
        <v>49</v>
      </c>
      <c r="O20" s="2" t="s">
        <v>40</v>
      </c>
      <c r="P20" s="2">
        <v>2000</v>
      </c>
      <c r="Q20" s="2">
        <v>100</v>
      </c>
      <c r="R20" s="2">
        <v>0</v>
      </c>
      <c r="S20" s="2">
        <v>0</v>
      </c>
      <c r="T20" s="2">
        <v>0</v>
      </c>
      <c r="U20" s="2">
        <v>100</v>
      </c>
      <c r="V20" s="2">
        <v>2100</v>
      </c>
      <c r="W20" t="s">
        <v>40</v>
      </c>
      <c r="X20" t="s">
        <v>40</v>
      </c>
      <c r="Y20" t="s">
        <v>40</v>
      </c>
      <c r="Z20" t="s">
        <v>40</v>
      </c>
      <c r="AA20" t="s">
        <v>71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</row>
    <row r="21" spans="1:36" x14ac:dyDescent="0.25">
      <c r="A21" t="s">
        <v>104</v>
      </c>
      <c r="B21" t="s">
        <v>105</v>
      </c>
      <c r="C21" t="s">
        <v>40</v>
      </c>
      <c r="D21" t="s">
        <v>41</v>
      </c>
      <c r="E21" s="1" t="s">
        <v>106</v>
      </c>
      <c r="F21" t="s">
        <v>40</v>
      </c>
      <c r="G21" s="1" t="s">
        <v>40</v>
      </c>
      <c r="H21" t="s">
        <v>43</v>
      </c>
      <c r="I21" t="s">
        <v>75</v>
      </c>
      <c r="J21" t="s">
        <v>76</v>
      </c>
      <c r="K21" t="s">
        <v>46</v>
      </c>
      <c r="L21" t="s">
        <v>77</v>
      </c>
      <c r="M21" t="s">
        <v>48</v>
      </c>
      <c r="N21" t="s">
        <v>49</v>
      </c>
      <c r="O21" s="2" t="s">
        <v>40</v>
      </c>
      <c r="P21" s="2">
        <v>1800</v>
      </c>
      <c r="Q21" s="2">
        <v>90</v>
      </c>
      <c r="R21" s="2">
        <v>0</v>
      </c>
      <c r="S21" s="2">
        <v>0</v>
      </c>
      <c r="T21" s="2">
        <v>0</v>
      </c>
      <c r="U21" s="2">
        <v>90</v>
      </c>
      <c r="V21" s="2">
        <v>1890</v>
      </c>
      <c r="W21" t="s">
        <v>40</v>
      </c>
      <c r="X21" t="s">
        <v>40</v>
      </c>
      <c r="Y21" t="s">
        <v>40</v>
      </c>
      <c r="Z21" t="s">
        <v>40</v>
      </c>
      <c r="AA21" t="s">
        <v>71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</row>
    <row r="22" spans="1:36" x14ac:dyDescent="0.25">
      <c r="A22" t="s">
        <v>107</v>
      </c>
      <c r="B22" t="s">
        <v>108</v>
      </c>
      <c r="C22" t="s">
        <v>40</v>
      </c>
      <c r="D22" t="s">
        <v>41</v>
      </c>
      <c r="E22" s="1" t="s">
        <v>109</v>
      </c>
      <c r="F22" t="s">
        <v>40</v>
      </c>
      <c r="G22" s="1" t="s">
        <v>40</v>
      </c>
      <c r="H22" t="s">
        <v>43</v>
      </c>
      <c r="I22" t="s">
        <v>75</v>
      </c>
      <c r="J22" t="s">
        <v>76</v>
      </c>
      <c r="K22" t="s">
        <v>46</v>
      </c>
      <c r="L22" t="s">
        <v>77</v>
      </c>
      <c r="M22" t="s">
        <v>48</v>
      </c>
      <c r="N22" t="s">
        <v>49</v>
      </c>
      <c r="O22" s="2" t="s">
        <v>40</v>
      </c>
      <c r="P22" s="2">
        <v>3000</v>
      </c>
      <c r="Q22" s="2">
        <v>150</v>
      </c>
      <c r="R22" s="2">
        <v>0</v>
      </c>
      <c r="S22" s="2">
        <v>0</v>
      </c>
      <c r="T22" s="2">
        <v>0</v>
      </c>
      <c r="U22" s="2">
        <v>150</v>
      </c>
      <c r="V22" s="2">
        <v>3150</v>
      </c>
      <c r="W22" t="s">
        <v>40</v>
      </c>
      <c r="X22" t="s">
        <v>40</v>
      </c>
      <c r="Y22" t="s">
        <v>40</v>
      </c>
      <c r="Z22" t="s">
        <v>40</v>
      </c>
      <c r="AA22" t="s">
        <v>71</v>
      </c>
      <c r="AB22" t="s">
        <v>40</v>
      </c>
      <c r="AC22" t="s">
        <v>40</v>
      </c>
      <c r="AD22" t="s">
        <v>40</v>
      </c>
      <c r="AE22" t="s">
        <v>40</v>
      </c>
      <c r="AF22" t="s">
        <v>40</v>
      </c>
      <c r="AG22" t="s">
        <v>40</v>
      </c>
      <c r="AH22" t="s">
        <v>40</v>
      </c>
      <c r="AI22" t="s">
        <v>40</v>
      </c>
      <c r="AJ22" t="s">
        <v>40</v>
      </c>
    </row>
    <row r="23" spans="1:36" x14ac:dyDescent="0.25">
      <c r="A23" t="s">
        <v>110</v>
      </c>
      <c r="B23" t="s">
        <v>111</v>
      </c>
      <c r="C23" t="s">
        <v>40</v>
      </c>
      <c r="D23" t="s">
        <v>41</v>
      </c>
      <c r="E23" s="1" t="s">
        <v>112</v>
      </c>
      <c r="F23" t="s">
        <v>40</v>
      </c>
      <c r="G23" s="1" t="s">
        <v>40</v>
      </c>
      <c r="H23" t="s">
        <v>43</v>
      </c>
      <c r="I23" t="s">
        <v>75</v>
      </c>
      <c r="J23" t="s">
        <v>76</v>
      </c>
      <c r="K23" t="s">
        <v>46</v>
      </c>
      <c r="L23" t="s">
        <v>77</v>
      </c>
      <c r="M23" t="s">
        <v>48</v>
      </c>
      <c r="N23" t="s">
        <v>49</v>
      </c>
      <c r="O23" s="2" t="s">
        <v>40</v>
      </c>
      <c r="P23" s="2">
        <v>2800</v>
      </c>
      <c r="Q23" s="2">
        <v>140</v>
      </c>
      <c r="R23" s="2">
        <v>0</v>
      </c>
      <c r="S23" s="2">
        <v>0</v>
      </c>
      <c r="T23" s="2">
        <v>0</v>
      </c>
      <c r="U23" s="2">
        <v>140</v>
      </c>
      <c r="V23" s="2">
        <v>2940</v>
      </c>
      <c r="W23" t="s">
        <v>40</v>
      </c>
      <c r="X23" t="s">
        <v>40</v>
      </c>
      <c r="Y23" t="s">
        <v>40</v>
      </c>
      <c r="Z23" t="s">
        <v>40</v>
      </c>
      <c r="AA23" t="s">
        <v>71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</row>
    <row r="24" spans="1:36" x14ac:dyDescent="0.25">
      <c r="A24" t="s">
        <v>113</v>
      </c>
      <c r="B24" t="s">
        <v>114</v>
      </c>
      <c r="C24" t="s">
        <v>40</v>
      </c>
      <c r="D24" t="s">
        <v>41</v>
      </c>
      <c r="E24" s="1" t="s">
        <v>112</v>
      </c>
      <c r="F24" t="s">
        <v>40</v>
      </c>
      <c r="G24" s="1" t="s">
        <v>40</v>
      </c>
      <c r="H24" t="s">
        <v>43</v>
      </c>
      <c r="I24" t="s">
        <v>75</v>
      </c>
      <c r="J24" t="s">
        <v>76</v>
      </c>
      <c r="K24" t="s">
        <v>46</v>
      </c>
      <c r="L24" t="s">
        <v>77</v>
      </c>
      <c r="M24" t="s">
        <v>48</v>
      </c>
      <c r="N24" t="s">
        <v>49</v>
      </c>
      <c r="O24" s="2" t="s">
        <v>40</v>
      </c>
      <c r="P24" s="2">
        <v>3800</v>
      </c>
      <c r="Q24" s="2">
        <v>190</v>
      </c>
      <c r="R24" s="2">
        <v>0</v>
      </c>
      <c r="S24" s="2">
        <v>0</v>
      </c>
      <c r="T24" s="2">
        <v>0</v>
      </c>
      <c r="U24" s="2">
        <v>190</v>
      </c>
      <c r="V24" s="2">
        <v>3990</v>
      </c>
      <c r="W24" t="s">
        <v>40</v>
      </c>
      <c r="X24" t="s">
        <v>40</v>
      </c>
      <c r="Y24" t="s">
        <v>40</v>
      </c>
      <c r="Z24" t="s">
        <v>40</v>
      </c>
      <c r="AA24" t="s">
        <v>71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</row>
    <row r="25" spans="1:36" x14ac:dyDescent="0.25">
      <c r="A25" t="s">
        <v>115</v>
      </c>
      <c r="B25" t="s">
        <v>116</v>
      </c>
      <c r="C25" t="s">
        <v>40</v>
      </c>
      <c r="D25" t="s">
        <v>41</v>
      </c>
      <c r="E25" s="1" t="s">
        <v>112</v>
      </c>
      <c r="F25" t="s">
        <v>40</v>
      </c>
      <c r="G25" s="1" t="s">
        <v>40</v>
      </c>
      <c r="H25" t="s">
        <v>43</v>
      </c>
      <c r="I25" t="s">
        <v>75</v>
      </c>
      <c r="J25" t="s">
        <v>76</v>
      </c>
      <c r="K25" t="s">
        <v>46</v>
      </c>
      <c r="L25" t="s">
        <v>77</v>
      </c>
      <c r="M25" t="s">
        <v>48</v>
      </c>
      <c r="N25" t="s">
        <v>49</v>
      </c>
      <c r="O25" s="2" t="s">
        <v>40</v>
      </c>
      <c r="P25" s="2">
        <v>2500</v>
      </c>
      <c r="Q25" s="2">
        <v>125</v>
      </c>
      <c r="R25" s="2">
        <v>0</v>
      </c>
      <c r="S25" s="2">
        <v>0</v>
      </c>
      <c r="T25" s="2">
        <v>0</v>
      </c>
      <c r="U25" s="2">
        <v>125</v>
      </c>
      <c r="V25" s="2">
        <v>2625</v>
      </c>
      <c r="W25" t="s">
        <v>40</v>
      </c>
      <c r="X25" t="s">
        <v>40</v>
      </c>
      <c r="Y25" t="s">
        <v>40</v>
      </c>
      <c r="Z25" t="s">
        <v>40</v>
      </c>
      <c r="AA25" t="s">
        <v>71</v>
      </c>
      <c r="AB25" t="s">
        <v>40</v>
      </c>
      <c r="AC25" t="s">
        <v>40</v>
      </c>
      <c r="AD25" t="s">
        <v>40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40</v>
      </c>
    </row>
    <row r="26" spans="1:36" x14ac:dyDescent="0.25">
      <c r="A26" t="s">
        <v>117</v>
      </c>
      <c r="B26" t="s">
        <v>118</v>
      </c>
      <c r="C26" t="s">
        <v>40</v>
      </c>
      <c r="D26" t="s">
        <v>41</v>
      </c>
      <c r="E26" s="1" t="s">
        <v>112</v>
      </c>
      <c r="F26" t="s">
        <v>40</v>
      </c>
      <c r="G26" s="1" t="s">
        <v>40</v>
      </c>
      <c r="H26" t="s">
        <v>43</v>
      </c>
      <c r="I26" t="s">
        <v>75</v>
      </c>
      <c r="J26" t="s">
        <v>76</v>
      </c>
      <c r="K26" t="s">
        <v>46</v>
      </c>
      <c r="L26" t="s">
        <v>77</v>
      </c>
      <c r="M26" t="s">
        <v>48</v>
      </c>
      <c r="N26" t="s">
        <v>49</v>
      </c>
      <c r="O26" s="2" t="s">
        <v>40</v>
      </c>
      <c r="P26" s="2">
        <v>4000</v>
      </c>
      <c r="Q26" s="2">
        <v>200</v>
      </c>
      <c r="R26" s="2">
        <v>0</v>
      </c>
      <c r="S26" s="2">
        <v>0</v>
      </c>
      <c r="T26" s="2">
        <v>0</v>
      </c>
      <c r="U26" s="2">
        <v>200</v>
      </c>
      <c r="V26" s="2">
        <v>4200</v>
      </c>
      <c r="W26" t="s">
        <v>40</v>
      </c>
      <c r="X26" t="s">
        <v>40</v>
      </c>
      <c r="Y26" t="s">
        <v>40</v>
      </c>
      <c r="Z26" t="s">
        <v>40</v>
      </c>
      <c r="AA26" t="s">
        <v>71</v>
      </c>
      <c r="AB26" t="s">
        <v>40</v>
      </c>
      <c r="AC26" t="s">
        <v>40</v>
      </c>
      <c r="AD26" t="s">
        <v>40</v>
      </c>
      <c r="AE26" t="s">
        <v>40</v>
      </c>
      <c r="AF26" t="s">
        <v>40</v>
      </c>
      <c r="AG26" t="s">
        <v>40</v>
      </c>
      <c r="AH26" t="s">
        <v>40</v>
      </c>
      <c r="AI26" t="s">
        <v>40</v>
      </c>
      <c r="AJ26" t="s">
        <v>40</v>
      </c>
    </row>
    <row r="27" spans="1:36" x14ac:dyDescent="0.25">
      <c r="A27" t="s">
        <v>119</v>
      </c>
      <c r="B27" t="s">
        <v>120</v>
      </c>
      <c r="C27" t="s">
        <v>40</v>
      </c>
      <c r="D27" t="s">
        <v>41</v>
      </c>
      <c r="E27" s="1" t="s">
        <v>121</v>
      </c>
      <c r="F27" t="s">
        <v>40</v>
      </c>
      <c r="G27" s="1" t="s">
        <v>40</v>
      </c>
      <c r="H27" t="s">
        <v>43</v>
      </c>
      <c r="I27" t="s">
        <v>75</v>
      </c>
      <c r="J27" t="s">
        <v>76</v>
      </c>
      <c r="K27" t="s">
        <v>46</v>
      </c>
      <c r="L27" t="s">
        <v>77</v>
      </c>
      <c r="M27" t="s">
        <v>48</v>
      </c>
      <c r="N27" t="s">
        <v>49</v>
      </c>
      <c r="O27" s="2" t="s">
        <v>40</v>
      </c>
      <c r="P27" s="2">
        <v>3000</v>
      </c>
      <c r="Q27" s="2">
        <v>150</v>
      </c>
      <c r="R27" s="2">
        <v>0</v>
      </c>
      <c r="S27" s="2">
        <v>0</v>
      </c>
      <c r="T27" s="2">
        <v>0</v>
      </c>
      <c r="U27" s="2">
        <v>150</v>
      </c>
      <c r="V27" s="2">
        <v>3150</v>
      </c>
      <c r="W27" t="s">
        <v>40</v>
      </c>
      <c r="X27" t="s">
        <v>40</v>
      </c>
      <c r="Y27" t="s">
        <v>40</v>
      </c>
      <c r="Z27" t="s">
        <v>40</v>
      </c>
      <c r="AA27" t="s">
        <v>71</v>
      </c>
      <c r="AB27" t="s">
        <v>40</v>
      </c>
      <c r="AC27" t="s">
        <v>40</v>
      </c>
      <c r="AD27" t="s">
        <v>40</v>
      </c>
      <c r="AE27" t="s">
        <v>40</v>
      </c>
      <c r="AF27" t="s">
        <v>40</v>
      </c>
      <c r="AG27" t="s">
        <v>40</v>
      </c>
      <c r="AH27" t="s">
        <v>40</v>
      </c>
      <c r="AI27" t="s">
        <v>40</v>
      </c>
      <c r="AJ27" t="s">
        <v>40</v>
      </c>
    </row>
    <row r="28" spans="1:36" x14ac:dyDescent="0.25">
      <c r="A28" t="s">
        <v>122</v>
      </c>
      <c r="B28" t="s">
        <v>123</v>
      </c>
      <c r="C28" t="s">
        <v>40</v>
      </c>
      <c r="D28" t="s">
        <v>41</v>
      </c>
      <c r="E28" s="1" t="s">
        <v>121</v>
      </c>
      <c r="F28" t="s">
        <v>40</v>
      </c>
      <c r="G28" s="1" t="s">
        <v>40</v>
      </c>
      <c r="H28" t="s">
        <v>43</v>
      </c>
      <c r="I28" t="s">
        <v>75</v>
      </c>
      <c r="J28" t="s">
        <v>76</v>
      </c>
      <c r="K28" t="s">
        <v>46</v>
      </c>
      <c r="L28" t="s">
        <v>77</v>
      </c>
      <c r="M28" t="s">
        <v>48</v>
      </c>
      <c r="N28" t="s">
        <v>49</v>
      </c>
      <c r="O28" s="2" t="s">
        <v>40</v>
      </c>
      <c r="P28" s="2">
        <v>3000</v>
      </c>
      <c r="Q28" s="2">
        <v>150</v>
      </c>
      <c r="R28" s="2">
        <v>0</v>
      </c>
      <c r="S28" s="2">
        <v>0</v>
      </c>
      <c r="T28" s="2">
        <v>0</v>
      </c>
      <c r="U28" s="2">
        <v>150</v>
      </c>
      <c r="V28" s="2">
        <v>3150</v>
      </c>
      <c r="W28" t="s">
        <v>40</v>
      </c>
      <c r="X28" t="s">
        <v>40</v>
      </c>
      <c r="Y28" t="s">
        <v>40</v>
      </c>
      <c r="Z28" t="s">
        <v>40</v>
      </c>
      <c r="AA28" t="s">
        <v>71</v>
      </c>
      <c r="AB28" t="s">
        <v>40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</row>
    <row r="29" spans="1:36" x14ac:dyDescent="0.25">
      <c r="A29" t="s">
        <v>124</v>
      </c>
      <c r="B29" t="s">
        <v>125</v>
      </c>
      <c r="C29" t="s">
        <v>40</v>
      </c>
      <c r="D29" t="s">
        <v>41</v>
      </c>
      <c r="E29" s="1" t="s">
        <v>121</v>
      </c>
      <c r="F29" t="s">
        <v>40</v>
      </c>
      <c r="G29" s="1" t="s">
        <v>40</v>
      </c>
      <c r="H29" t="s">
        <v>43</v>
      </c>
      <c r="I29" t="s">
        <v>75</v>
      </c>
      <c r="J29" t="s">
        <v>76</v>
      </c>
      <c r="K29" t="s">
        <v>46</v>
      </c>
      <c r="L29" t="s">
        <v>77</v>
      </c>
      <c r="M29" t="s">
        <v>48</v>
      </c>
      <c r="N29" t="s">
        <v>49</v>
      </c>
      <c r="O29" s="2" t="s">
        <v>40</v>
      </c>
      <c r="P29" s="2">
        <v>1500</v>
      </c>
      <c r="Q29" s="2">
        <v>75</v>
      </c>
      <c r="R29" s="2">
        <v>0</v>
      </c>
      <c r="S29" s="2">
        <v>0</v>
      </c>
      <c r="T29" s="2">
        <v>0</v>
      </c>
      <c r="U29" s="2">
        <v>75</v>
      </c>
      <c r="V29" s="2">
        <v>1575</v>
      </c>
      <c r="W29" t="s">
        <v>40</v>
      </c>
      <c r="X29" t="s">
        <v>40</v>
      </c>
      <c r="Y29" t="s">
        <v>40</v>
      </c>
      <c r="Z29" t="s">
        <v>40</v>
      </c>
      <c r="AA29" t="s">
        <v>71</v>
      </c>
      <c r="AB29" t="s">
        <v>40</v>
      </c>
      <c r="AC29" t="s">
        <v>40</v>
      </c>
      <c r="AD29" t="s">
        <v>40</v>
      </c>
      <c r="AE29" t="s">
        <v>40</v>
      </c>
      <c r="AF29" t="s">
        <v>40</v>
      </c>
      <c r="AG29" t="s">
        <v>40</v>
      </c>
      <c r="AH29" t="s">
        <v>40</v>
      </c>
      <c r="AI29" t="s">
        <v>40</v>
      </c>
      <c r="AJ29" t="s">
        <v>40</v>
      </c>
    </row>
    <row r="30" spans="1:36" x14ac:dyDescent="0.25">
      <c r="A30" t="s">
        <v>126</v>
      </c>
      <c r="B30" t="s">
        <v>127</v>
      </c>
      <c r="C30" t="s">
        <v>40</v>
      </c>
      <c r="D30" t="s">
        <v>41</v>
      </c>
      <c r="E30" s="1" t="s">
        <v>121</v>
      </c>
      <c r="F30" t="s">
        <v>40</v>
      </c>
      <c r="G30" s="1" t="s">
        <v>40</v>
      </c>
      <c r="H30" t="s">
        <v>43</v>
      </c>
      <c r="I30" t="s">
        <v>75</v>
      </c>
      <c r="J30" t="s">
        <v>76</v>
      </c>
      <c r="K30" t="s">
        <v>46</v>
      </c>
      <c r="L30" t="s">
        <v>77</v>
      </c>
      <c r="M30" t="s">
        <v>48</v>
      </c>
      <c r="N30" t="s">
        <v>49</v>
      </c>
      <c r="O30" s="2" t="s">
        <v>40</v>
      </c>
      <c r="P30" s="2">
        <v>1800</v>
      </c>
      <c r="Q30" s="2">
        <v>90</v>
      </c>
      <c r="R30" s="2">
        <v>0</v>
      </c>
      <c r="S30" s="2">
        <v>0</v>
      </c>
      <c r="T30" s="2">
        <v>0</v>
      </c>
      <c r="U30" s="2">
        <v>90</v>
      </c>
      <c r="V30" s="2">
        <v>1890</v>
      </c>
      <c r="W30" t="s">
        <v>40</v>
      </c>
      <c r="X30" t="s">
        <v>40</v>
      </c>
      <c r="Y30" t="s">
        <v>40</v>
      </c>
      <c r="Z30" t="s">
        <v>40</v>
      </c>
      <c r="AA30" t="s">
        <v>71</v>
      </c>
      <c r="AB30" t="s">
        <v>40</v>
      </c>
      <c r="AC30" t="s">
        <v>40</v>
      </c>
      <c r="AD30" t="s">
        <v>40</v>
      </c>
      <c r="AE30" t="s">
        <v>40</v>
      </c>
      <c r="AF30" t="s">
        <v>40</v>
      </c>
      <c r="AG30" t="s">
        <v>40</v>
      </c>
      <c r="AH30" t="s">
        <v>40</v>
      </c>
      <c r="AI30" t="s">
        <v>40</v>
      </c>
      <c r="AJ30" t="s">
        <v>40</v>
      </c>
    </row>
    <row r="31" spans="1:36" x14ac:dyDescent="0.25">
      <c r="A31" t="s">
        <v>93</v>
      </c>
      <c r="B31" t="s">
        <v>128</v>
      </c>
      <c r="C31" t="s">
        <v>40</v>
      </c>
      <c r="D31" t="s">
        <v>41</v>
      </c>
      <c r="E31" s="1" t="s">
        <v>129</v>
      </c>
      <c r="F31" t="s">
        <v>40</v>
      </c>
      <c r="G31" s="1" t="s">
        <v>40</v>
      </c>
      <c r="H31" t="s">
        <v>43</v>
      </c>
      <c r="I31" t="s">
        <v>75</v>
      </c>
      <c r="J31" t="s">
        <v>76</v>
      </c>
      <c r="K31" t="s">
        <v>46</v>
      </c>
      <c r="L31" t="s">
        <v>77</v>
      </c>
      <c r="M31" t="s">
        <v>48</v>
      </c>
      <c r="N31" t="s">
        <v>49</v>
      </c>
      <c r="O31" s="2" t="s">
        <v>40</v>
      </c>
      <c r="P31" s="2">
        <v>2800</v>
      </c>
      <c r="Q31" s="2">
        <v>140</v>
      </c>
      <c r="R31" s="2">
        <v>0</v>
      </c>
      <c r="S31" s="2">
        <v>0</v>
      </c>
      <c r="T31" s="2">
        <v>0</v>
      </c>
      <c r="U31" s="2">
        <v>140</v>
      </c>
      <c r="V31" s="2">
        <v>2940</v>
      </c>
      <c r="W31" t="s">
        <v>40</v>
      </c>
      <c r="X31" t="s">
        <v>40</v>
      </c>
      <c r="Y31" t="s">
        <v>40</v>
      </c>
      <c r="Z31" t="s">
        <v>40</v>
      </c>
      <c r="AA31" t="s">
        <v>71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40</v>
      </c>
      <c r="AH31" t="s">
        <v>40</v>
      </c>
      <c r="AI31" t="s">
        <v>40</v>
      </c>
      <c r="AJ31" t="s">
        <v>40</v>
      </c>
    </row>
    <row r="32" spans="1:36" x14ac:dyDescent="0.25">
      <c r="A32" t="s">
        <v>130</v>
      </c>
      <c r="B32" t="s">
        <v>131</v>
      </c>
      <c r="C32" t="s">
        <v>40</v>
      </c>
      <c r="D32" t="s">
        <v>41</v>
      </c>
      <c r="E32" s="1" t="s">
        <v>132</v>
      </c>
      <c r="F32" t="s">
        <v>40</v>
      </c>
      <c r="G32" s="1" t="s">
        <v>40</v>
      </c>
      <c r="H32" t="s">
        <v>43</v>
      </c>
      <c r="I32" t="s">
        <v>75</v>
      </c>
      <c r="J32" t="s">
        <v>76</v>
      </c>
      <c r="K32" t="s">
        <v>46</v>
      </c>
      <c r="L32" t="s">
        <v>77</v>
      </c>
      <c r="M32" t="s">
        <v>48</v>
      </c>
      <c r="N32" t="s">
        <v>49</v>
      </c>
      <c r="O32" s="2" t="s">
        <v>40</v>
      </c>
      <c r="P32" s="2">
        <v>2800</v>
      </c>
      <c r="Q32" s="2">
        <v>140</v>
      </c>
      <c r="R32" s="2">
        <v>0</v>
      </c>
      <c r="S32" s="2">
        <v>0</v>
      </c>
      <c r="T32" s="2">
        <v>0</v>
      </c>
      <c r="U32" s="2">
        <v>140</v>
      </c>
      <c r="V32" s="2">
        <v>2940</v>
      </c>
      <c r="W32" t="s">
        <v>40</v>
      </c>
      <c r="X32" t="s">
        <v>40</v>
      </c>
      <c r="Y32" t="s">
        <v>40</v>
      </c>
      <c r="Z32" t="s">
        <v>40</v>
      </c>
      <c r="AA32" t="s">
        <v>71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  <c r="AH32" t="s">
        <v>40</v>
      </c>
      <c r="AI32" t="s">
        <v>40</v>
      </c>
      <c r="AJ32" t="s">
        <v>40</v>
      </c>
    </row>
    <row r="33" spans="1:36" x14ac:dyDescent="0.25">
      <c r="A33" t="s">
        <v>133</v>
      </c>
      <c r="B33" t="s">
        <v>134</v>
      </c>
      <c r="C33" t="s">
        <v>40</v>
      </c>
      <c r="D33" t="s">
        <v>41</v>
      </c>
      <c r="E33" s="1" t="s">
        <v>132</v>
      </c>
      <c r="F33" t="s">
        <v>40</v>
      </c>
      <c r="G33" s="1" t="s">
        <v>40</v>
      </c>
      <c r="H33" t="s">
        <v>43</v>
      </c>
      <c r="I33" t="s">
        <v>75</v>
      </c>
      <c r="J33" t="s">
        <v>76</v>
      </c>
      <c r="K33" t="s">
        <v>46</v>
      </c>
      <c r="L33" t="s">
        <v>77</v>
      </c>
      <c r="M33" t="s">
        <v>48</v>
      </c>
      <c r="N33" t="s">
        <v>49</v>
      </c>
      <c r="O33" s="2" t="s">
        <v>40</v>
      </c>
      <c r="P33" s="2">
        <v>5600</v>
      </c>
      <c r="Q33" s="2">
        <v>280</v>
      </c>
      <c r="R33" s="2">
        <v>0</v>
      </c>
      <c r="S33" s="2">
        <v>0</v>
      </c>
      <c r="T33" s="2">
        <v>0</v>
      </c>
      <c r="U33" s="2">
        <v>280</v>
      </c>
      <c r="V33" s="2">
        <v>5880</v>
      </c>
      <c r="W33" t="s">
        <v>40</v>
      </c>
      <c r="X33" t="s">
        <v>40</v>
      </c>
      <c r="Y33" t="s">
        <v>40</v>
      </c>
      <c r="Z33" t="s">
        <v>40</v>
      </c>
      <c r="AA33" t="s">
        <v>71</v>
      </c>
      <c r="AB33" t="s">
        <v>40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  <c r="AH33" t="s">
        <v>40</v>
      </c>
      <c r="AI33" t="s">
        <v>40</v>
      </c>
      <c r="AJ33" t="s">
        <v>40</v>
      </c>
    </row>
    <row r="34" spans="1:36" x14ac:dyDescent="0.25">
      <c r="A34" t="s">
        <v>135</v>
      </c>
      <c r="B34" t="s">
        <v>136</v>
      </c>
      <c r="C34" t="s">
        <v>40</v>
      </c>
      <c r="D34" t="s">
        <v>41</v>
      </c>
      <c r="E34" s="1" t="s">
        <v>132</v>
      </c>
      <c r="F34" t="s">
        <v>40</v>
      </c>
      <c r="G34" s="1" t="s">
        <v>40</v>
      </c>
      <c r="H34" t="s">
        <v>43</v>
      </c>
      <c r="I34" t="s">
        <v>75</v>
      </c>
      <c r="J34" t="s">
        <v>76</v>
      </c>
      <c r="K34" t="s">
        <v>46</v>
      </c>
      <c r="L34" t="s">
        <v>77</v>
      </c>
      <c r="M34" t="s">
        <v>48</v>
      </c>
      <c r="N34" t="s">
        <v>49</v>
      </c>
      <c r="O34" s="2" t="s">
        <v>40</v>
      </c>
      <c r="P34" s="2">
        <v>6300</v>
      </c>
      <c r="Q34" s="2">
        <v>315</v>
      </c>
      <c r="R34" s="2">
        <v>0</v>
      </c>
      <c r="S34" s="2">
        <v>0</v>
      </c>
      <c r="T34" s="2">
        <v>0</v>
      </c>
      <c r="U34" s="2">
        <v>315</v>
      </c>
      <c r="V34" s="2">
        <v>6615</v>
      </c>
      <c r="W34" t="s">
        <v>40</v>
      </c>
      <c r="X34" t="s">
        <v>40</v>
      </c>
      <c r="Y34" t="s">
        <v>40</v>
      </c>
      <c r="Z34" t="s">
        <v>40</v>
      </c>
      <c r="AA34" t="s">
        <v>71</v>
      </c>
      <c r="AB34" t="s">
        <v>40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  <c r="AH34" t="s">
        <v>40</v>
      </c>
      <c r="AI34" t="s">
        <v>40</v>
      </c>
      <c r="AJ34" t="s">
        <v>40</v>
      </c>
    </row>
    <row r="35" spans="1:36" x14ac:dyDescent="0.25">
      <c r="A35" t="s">
        <v>83</v>
      </c>
      <c r="B35" t="s">
        <v>137</v>
      </c>
      <c r="C35" t="s">
        <v>40</v>
      </c>
      <c r="D35" t="s">
        <v>41</v>
      </c>
      <c r="E35" s="1" t="s">
        <v>138</v>
      </c>
      <c r="F35" t="s">
        <v>40</v>
      </c>
      <c r="G35" s="1" t="s">
        <v>40</v>
      </c>
      <c r="H35" t="s">
        <v>43</v>
      </c>
      <c r="I35" t="s">
        <v>75</v>
      </c>
      <c r="J35" t="s">
        <v>76</v>
      </c>
      <c r="K35" t="s">
        <v>46</v>
      </c>
      <c r="L35" t="s">
        <v>77</v>
      </c>
      <c r="M35" t="s">
        <v>48</v>
      </c>
      <c r="N35" t="s">
        <v>49</v>
      </c>
      <c r="O35" s="2" t="s">
        <v>40</v>
      </c>
      <c r="P35" s="2">
        <v>5000</v>
      </c>
      <c r="Q35" s="2">
        <v>250</v>
      </c>
      <c r="R35" s="2">
        <v>0</v>
      </c>
      <c r="S35" s="2">
        <v>0</v>
      </c>
      <c r="T35" s="2">
        <v>0</v>
      </c>
      <c r="U35" s="2">
        <v>250</v>
      </c>
      <c r="V35" s="2">
        <v>5250</v>
      </c>
      <c r="W35" t="s">
        <v>40</v>
      </c>
      <c r="X35" t="s">
        <v>40</v>
      </c>
      <c r="Y35" t="s">
        <v>40</v>
      </c>
      <c r="Z35" t="s">
        <v>40</v>
      </c>
      <c r="AA35" t="s">
        <v>71</v>
      </c>
      <c r="AB35" t="s">
        <v>40</v>
      </c>
      <c r="AC35" t="s">
        <v>40</v>
      </c>
      <c r="AD35" t="s">
        <v>40</v>
      </c>
      <c r="AE35" t="s">
        <v>40</v>
      </c>
      <c r="AF35" t="s">
        <v>40</v>
      </c>
      <c r="AG35" t="s">
        <v>40</v>
      </c>
      <c r="AH35" t="s">
        <v>40</v>
      </c>
      <c r="AI35" t="s">
        <v>40</v>
      </c>
      <c r="AJ35" t="s">
        <v>40</v>
      </c>
    </row>
    <row r="36" spans="1:36" x14ac:dyDescent="0.25">
      <c r="A36" t="s">
        <v>139</v>
      </c>
      <c r="B36" t="s">
        <v>140</v>
      </c>
      <c r="C36" t="s">
        <v>40</v>
      </c>
      <c r="D36" t="s">
        <v>41</v>
      </c>
      <c r="E36" s="1" t="s">
        <v>91</v>
      </c>
      <c r="F36" t="s">
        <v>40</v>
      </c>
      <c r="G36" s="1" t="s">
        <v>40</v>
      </c>
      <c r="H36" t="s">
        <v>43</v>
      </c>
      <c r="I36" t="s">
        <v>95</v>
      </c>
      <c r="J36" t="s">
        <v>40</v>
      </c>
      <c r="K36" t="s">
        <v>46</v>
      </c>
      <c r="L36" t="s">
        <v>47</v>
      </c>
      <c r="M36" t="s">
        <v>48</v>
      </c>
      <c r="N36" t="s">
        <v>49</v>
      </c>
      <c r="O36" s="2" t="s">
        <v>40</v>
      </c>
      <c r="P36" s="2">
        <v>37142.9</v>
      </c>
      <c r="Q36" s="2">
        <v>0</v>
      </c>
      <c r="R36" s="2">
        <v>928.57</v>
      </c>
      <c r="S36" s="2">
        <v>928.57</v>
      </c>
      <c r="T36" s="2">
        <v>0</v>
      </c>
      <c r="U36" s="2">
        <v>1857.14</v>
      </c>
      <c r="V36" s="2">
        <v>39000</v>
      </c>
      <c r="W36" t="s">
        <v>40</v>
      </c>
      <c r="X36" t="s">
        <v>40</v>
      </c>
      <c r="Y36" t="s">
        <v>40</v>
      </c>
      <c r="Z36" t="s">
        <v>40</v>
      </c>
      <c r="AA36" t="s">
        <v>71</v>
      </c>
      <c r="AB36" t="s">
        <v>40</v>
      </c>
      <c r="AC36" t="s">
        <v>40</v>
      </c>
      <c r="AD36" t="s">
        <v>40</v>
      </c>
      <c r="AE36" t="s">
        <v>40</v>
      </c>
      <c r="AF36" t="s">
        <v>40</v>
      </c>
      <c r="AG36" t="s">
        <v>40</v>
      </c>
      <c r="AH36" t="s">
        <v>40</v>
      </c>
      <c r="AI36" t="s">
        <v>40</v>
      </c>
      <c r="AJ36" t="s">
        <v>40</v>
      </c>
    </row>
    <row r="37" spans="1:36" x14ac:dyDescent="0.25">
      <c r="A37" t="s">
        <v>73</v>
      </c>
      <c r="B37" t="s">
        <v>141</v>
      </c>
      <c r="C37" t="s">
        <v>40</v>
      </c>
      <c r="D37" t="s">
        <v>41</v>
      </c>
      <c r="E37" s="1" t="s">
        <v>138</v>
      </c>
      <c r="F37" t="s">
        <v>40</v>
      </c>
      <c r="G37" s="1" t="s">
        <v>40</v>
      </c>
      <c r="H37" t="s">
        <v>43</v>
      </c>
      <c r="I37" t="s">
        <v>75</v>
      </c>
      <c r="J37" t="s">
        <v>76</v>
      </c>
      <c r="K37" t="s">
        <v>46</v>
      </c>
      <c r="L37" t="s">
        <v>77</v>
      </c>
      <c r="M37" t="s">
        <v>48</v>
      </c>
      <c r="N37" t="s">
        <v>49</v>
      </c>
      <c r="O37" s="2" t="s">
        <v>40</v>
      </c>
      <c r="P37" s="2">
        <v>2500</v>
      </c>
      <c r="Q37" s="2">
        <v>125</v>
      </c>
      <c r="R37" s="2">
        <v>0</v>
      </c>
      <c r="S37" s="2">
        <v>0</v>
      </c>
      <c r="T37" s="2">
        <v>0</v>
      </c>
      <c r="U37" s="2">
        <v>125</v>
      </c>
      <c r="V37" s="2">
        <v>2625</v>
      </c>
      <c r="W37" t="s">
        <v>40</v>
      </c>
      <c r="X37" t="s">
        <v>40</v>
      </c>
      <c r="Y37" t="s">
        <v>40</v>
      </c>
      <c r="Z37" t="s">
        <v>40</v>
      </c>
      <c r="AA37" t="s">
        <v>71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</row>
    <row r="38" spans="1:36" x14ac:dyDescent="0.25">
      <c r="A38" t="s">
        <v>79</v>
      </c>
      <c r="B38" t="s">
        <v>142</v>
      </c>
      <c r="C38" t="s">
        <v>40</v>
      </c>
      <c r="D38" t="s">
        <v>41</v>
      </c>
      <c r="E38" s="1" t="s">
        <v>143</v>
      </c>
      <c r="F38" t="s">
        <v>40</v>
      </c>
      <c r="G38" s="1" t="s">
        <v>40</v>
      </c>
      <c r="H38" t="s">
        <v>43</v>
      </c>
      <c r="I38" t="s">
        <v>75</v>
      </c>
      <c r="J38" t="s">
        <v>76</v>
      </c>
      <c r="K38" t="s">
        <v>46</v>
      </c>
      <c r="L38" t="s">
        <v>77</v>
      </c>
      <c r="M38" t="s">
        <v>48</v>
      </c>
      <c r="N38" t="s">
        <v>49</v>
      </c>
      <c r="O38" s="2" t="s">
        <v>40</v>
      </c>
      <c r="P38" s="2">
        <v>3800</v>
      </c>
      <c r="Q38" s="2">
        <v>190</v>
      </c>
      <c r="R38" s="2">
        <v>0</v>
      </c>
      <c r="S38" s="2">
        <v>0</v>
      </c>
      <c r="T38" s="2">
        <v>0</v>
      </c>
      <c r="U38" s="2">
        <v>190</v>
      </c>
      <c r="V38" s="2">
        <v>3990</v>
      </c>
      <c r="W38" t="s">
        <v>40</v>
      </c>
      <c r="X38" t="s">
        <v>40</v>
      </c>
      <c r="Y38" t="s">
        <v>40</v>
      </c>
      <c r="Z38" t="s">
        <v>40</v>
      </c>
      <c r="AA38" t="s">
        <v>71</v>
      </c>
      <c r="AB38" t="s">
        <v>40</v>
      </c>
      <c r="AC38" t="s">
        <v>40</v>
      </c>
      <c r="AD38" t="s">
        <v>40</v>
      </c>
      <c r="AE38" t="s">
        <v>40</v>
      </c>
      <c r="AF38" t="s">
        <v>40</v>
      </c>
      <c r="AG38" t="s">
        <v>40</v>
      </c>
      <c r="AH38" t="s">
        <v>40</v>
      </c>
      <c r="AI38" t="s">
        <v>40</v>
      </c>
      <c r="AJ38" t="s">
        <v>40</v>
      </c>
    </row>
    <row r="39" spans="1:36" x14ac:dyDescent="0.25">
      <c r="A39" t="s">
        <v>85</v>
      </c>
      <c r="B39" t="s">
        <v>144</v>
      </c>
      <c r="C39" t="s">
        <v>40</v>
      </c>
      <c r="D39" t="s">
        <v>41</v>
      </c>
      <c r="E39" s="1" t="s">
        <v>143</v>
      </c>
      <c r="F39" t="s">
        <v>40</v>
      </c>
      <c r="G39" s="1" t="s">
        <v>40</v>
      </c>
      <c r="H39" t="s">
        <v>43</v>
      </c>
      <c r="I39" t="s">
        <v>75</v>
      </c>
      <c r="J39" t="s">
        <v>76</v>
      </c>
      <c r="K39" t="s">
        <v>46</v>
      </c>
      <c r="L39" t="s">
        <v>77</v>
      </c>
      <c r="M39" t="s">
        <v>48</v>
      </c>
      <c r="N39" t="s">
        <v>49</v>
      </c>
      <c r="O39" s="2" t="s">
        <v>40</v>
      </c>
      <c r="P39" s="2">
        <v>2500</v>
      </c>
      <c r="Q39" s="2">
        <v>125</v>
      </c>
      <c r="R39" s="2">
        <v>0</v>
      </c>
      <c r="S39" s="2">
        <v>0</v>
      </c>
      <c r="T39" s="2">
        <v>0</v>
      </c>
      <c r="U39" s="2">
        <v>125</v>
      </c>
      <c r="V39" s="2">
        <v>2625</v>
      </c>
      <c r="W39" t="s">
        <v>40</v>
      </c>
      <c r="X39" t="s">
        <v>40</v>
      </c>
      <c r="Y39" t="s">
        <v>40</v>
      </c>
      <c r="Z39" t="s">
        <v>40</v>
      </c>
      <c r="AA39" t="s">
        <v>71</v>
      </c>
      <c r="AB39" t="s">
        <v>40</v>
      </c>
      <c r="AC39" t="s">
        <v>40</v>
      </c>
      <c r="AD39" t="s">
        <v>40</v>
      </c>
      <c r="AE39" t="s">
        <v>40</v>
      </c>
      <c r="AF39" t="s">
        <v>40</v>
      </c>
      <c r="AG39" t="s">
        <v>40</v>
      </c>
      <c r="AH39" t="s">
        <v>40</v>
      </c>
      <c r="AI39" t="s">
        <v>40</v>
      </c>
      <c r="AJ39" t="s">
        <v>40</v>
      </c>
    </row>
    <row r="40" spans="1:36" x14ac:dyDescent="0.25">
      <c r="A40" t="s">
        <v>145</v>
      </c>
      <c r="B40" t="s">
        <v>146</v>
      </c>
      <c r="C40" t="s">
        <v>40</v>
      </c>
      <c r="D40" t="s">
        <v>41</v>
      </c>
      <c r="E40" s="1" t="s">
        <v>147</v>
      </c>
      <c r="F40" t="s">
        <v>40</v>
      </c>
      <c r="G40" s="1" t="s">
        <v>40</v>
      </c>
      <c r="H40" t="s">
        <v>43</v>
      </c>
      <c r="I40" t="s">
        <v>75</v>
      </c>
      <c r="J40" t="s">
        <v>76</v>
      </c>
      <c r="K40" t="s">
        <v>46</v>
      </c>
      <c r="L40" t="s">
        <v>77</v>
      </c>
      <c r="M40" t="s">
        <v>48</v>
      </c>
      <c r="N40" t="s">
        <v>49</v>
      </c>
      <c r="O40" s="2" t="s">
        <v>40</v>
      </c>
      <c r="P40" s="2">
        <v>3800</v>
      </c>
      <c r="Q40" s="2">
        <v>190</v>
      </c>
      <c r="R40" s="2">
        <v>0</v>
      </c>
      <c r="S40" s="2">
        <v>0</v>
      </c>
      <c r="T40" s="2">
        <v>0</v>
      </c>
      <c r="U40" s="2">
        <v>190</v>
      </c>
      <c r="V40" s="2">
        <v>3990</v>
      </c>
      <c r="W40" t="s">
        <v>40</v>
      </c>
      <c r="X40" t="s">
        <v>40</v>
      </c>
      <c r="Y40" t="s">
        <v>40</v>
      </c>
      <c r="Z40" t="s">
        <v>40</v>
      </c>
      <c r="AA40" t="s">
        <v>71</v>
      </c>
      <c r="AB40" t="s">
        <v>40</v>
      </c>
      <c r="AC40" t="s">
        <v>40</v>
      </c>
      <c r="AD40" t="s">
        <v>40</v>
      </c>
      <c r="AE40" t="s">
        <v>40</v>
      </c>
      <c r="AF40" t="s">
        <v>40</v>
      </c>
      <c r="AG40" t="s">
        <v>40</v>
      </c>
      <c r="AH40" t="s">
        <v>40</v>
      </c>
      <c r="AI40" t="s">
        <v>40</v>
      </c>
      <c r="AJ40" t="s">
        <v>40</v>
      </c>
    </row>
    <row r="41" spans="1:36" x14ac:dyDescent="0.25">
      <c r="A41" t="s">
        <v>81</v>
      </c>
      <c r="B41" t="s">
        <v>148</v>
      </c>
      <c r="C41" t="s">
        <v>40</v>
      </c>
      <c r="D41" t="s">
        <v>41</v>
      </c>
      <c r="E41" s="1" t="s">
        <v>149</v>
      </c>
      <c r="F41" t="s">
        <v>40</v>
      </c>
      <c r="G41" s="1" t="s">
        <v>40</v>
      </c>
      <c r="H41" t="s">
        <v>43</v>
      </c>
      <c r="I41" t="s">
        <v>75</v>
      </c>
      <c r="J41" t="s">
        <v>76</v>
      </c>
      <c r="K41" t="s">
        <v>46</v>
      </c>
      <c r="L41" t="s">
        <v>77</v>
      </c>
      <c r="M41" t="s">
        <v>48</v>
      </c>
      <c r="N41" t="s">
        <v>49</v>
      </c>
      <c r="O41" s="2" t="s">
        <v>40</v>
      </c>
      <c r="P41" s="2">
        <v>3500</v>
      </c>
      <c r="Q41" s="2">
        <v>175</v>
      </c>
      <c r="R41" s="2">
        <v>0</v>
      </c>
      <c r="S41" s="2">
        <v>0</v>
      </c>
      <c r="T41" s="2">
        <v>0</v>
      </c>
      <c r="U41" s="2">
        <v>175</v>
      </c>
      <c r="V41" s="2">
        <v>3675</v>
      </c>
      <c r="W41" t="s">
        <v>40</v>
      </c>
      <c r="X41" t="s">
        <v>40</v>
      </c>
      <c r="Y41" t="s">
        <v>40</v>
      </c>
      <c r="Z41" t="s">
        <v>40</v>
      </c>
      <c r="AA41" t="s">
        <v>71</v>
      </c>
      <c r="AB41" t="s">
        <v>40</v>
      </c>
      <c r="AC41" t="s">
        <v>40</v>
      </c>
      <c r="AD41" t="s">
        <v>40</v>
      </c>
      <c r="AE41" t="s">
        <v>40</v>
      </c>
      <c r="AF41" t="s">
        <v>40</v>
      </c>
      <c r="AG41" t="s">
        <v>40</v>
      </c>
      <c r="AH41" t="s">
        <v>40</v>
      </c>
      <c r="AI41" t="s">
        <v>40</v>
      </c>
      <c r="AJ41" t="s">
        <v>40</v>
      </c>
    </row>
    <row r="42" spans="1:36" x14ac:dyDescent="0.25">
      <c r="A42" t="s">
        <v>150</v>
      </c>
      <c r="B42" t="s">
        <v>151</v>
      </c>
      <c r="C42" t="s">
        <v>40</v>
      </c>
      <c r="D42" t="s">
        <v>41</v>
      </c>
      <c r="E42" s="1" t="s">
        <v>147</v>
      </c>
      <c r="F42" t="s">
        <v>40</v>
      </c>
      <c r="G42" s="1" t="s">
        <v>40</v>
      </c>
      <c r="H42" t="s">
        <v>43</v>
      </c>
      <c r="I42" t="s">
        <v>75</v>
      </c>
      <c r="J42" t="s">
        <v>76</v>
      </c>
      <c r="K42" t="s">
        <v>46</v>
      </c>
      <c r="L42" t="s">
        <v>77</v>
      </c>
      <c r="M42" t="s">
        <v>48</v>
      </c>
      <c r="N42" t="s">
        <v>49</v>
      </c>
      <c r="O42" s="2" t="s">
        <v>40</v>
      </c>
      <c r="P42" s="2">
        <v>2500</v>
      </c>
      <c r="Q42" s="2">
        <v>125</v>
      </c>
      <c r="R42" s="2">
        <v>0</v>
      </c>
      <c r="S42" s="2">
        <v>0</v>
      </c>
      <c r="T42" s="2">
        <v>0</v>
      </c>
      <c r="U42" s="2">
        <v>125</v>
      </c>
      <c r="V42" s="2">
        <v>2625</v>
      </c>
      <c r="W42" t="s">
        <v>40</v>
      </c>
      <c r="X42" t="s">
        <v>40</v>
      </c>
      <c r="Y42" t="s">
        <v>40</v>
      </c>
      <c r="Z42" t="s">
        <v>40</v>
      </c>
      <c r="AA42" t="s">
        <v>71</v>
      </c>
      <c r="AB42" t="s">
        <v>40</v>
      </c>
      <c r="AC42" t="s">
        <v>40</v>
      </c>
      <c r="AD42" t="s">
        <v>40</v>
      </c>
      <c r="AE42" t="s">
        <v>40</v>
      </c>
      <c r="AF42" t="s">
        <v>40</v>
      </c>
      <c r="AG42" t="s">
        <v>40</v>
      </c>
      <c r="AH42" t="s">
        <v>40</v>
      </c>
      <c r="AI42" t="s">
        <v>40</v>
      </c>
      <c r="AJ42" t="s">
        <v>40</v>
      </c>
    </row>
    <row r="43" spans="1:36" x14ac:dyDescent="0.25">
      <c r="A43" t="s">
        <v>152</v>
      </c>
      <c r="B43" t="s">
        <v>153</v>
      </c>
      <c r="C43" t="s">
        <v>40</v>
      </c>
      <c r="D43" t="s">
        <v>41</v>
      </c>
      <c r="E43" s="1" t="s">
        <v>154</v>
      </c>
      <c r="F43" t="s">
        <v>40</v>
      </c>
      <c r="G43" s="1" t="s">
        <v>40</v>
      </c>
      <c r="H43" t="s">
        <v>43</v>
      </c>
      <c r="I43" t="s">
        <v>75</v>
      </c>
      <c r="J43" t="s">
        <v>76</v>
      </c>
      <c r="K43" t="s">
        <v>46</v>
      </c>
      <c r="L43" t="s">
        <v>77</v>
      </c>
      <c r="M43" t="s">
        <v>48</v>
      </c>
      <c r="N43" t="s">
        <v>49</v>
      </c>
      <c r="O43" s="2" t="s">
        <v>40</v>
      </c>
      <c r="P43" s="2">
        <v>3800</v>
      </c>
      <c r="Q43" s="2">
        <v>190</v>
      </c>
      <c r="R43" s="2">
        <v>0</v>
      </c>
      <c r="S43" s="2">
        <v>0</v>
      </c>
      <c r="T43" s="2">
        <v>0</v>
      </c>
      <c r="U43" s="2">
        <v>190</v>
      </c>
      <c r="V43" s="2">
        <v>3990</v>
      </c>
      <c r="W43" t="s">
        <v>40</v>
      </c>
      <c r="X43" t="s">
        <v>40</v>
      </c>
      <c r="Y43" t="s">
        <v>40</v>
      </c>
      <c r="Z43" t="s">
        <v>40</v>
      </c>
      <c r="AA43" t="s">
        <v>71</v>
      </c>
      <c r="AB43" t="s">
        <v>40</v>
      </c>
      <c r="AC43" t="s">
        <v>40</v>
      </c>
      <c r="AD43" t="s">
        <v>40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40</v>
      </c>
    </row>
    <row r="44" spans="1:36" x14ac:dyDescent="0.25">
      <c r="A44" t="s">
        <v>155</v>
      </c>
      <c r="B44" t="s">
        <v>156</v>
      </c>
      <c r="C44" t="s">
        <v>40</v>
      </c>
      <c r="D44" t="s">
        <v>41</v>
      </c>
      <c r="E44" s="1" t="s">
        <v>147</v>
      </c>
      <c r="F44" t="s">
        <v>40</v>
      </c>
      <c r="G44" s="1" t="s">
        <v>40</v>
      </c>
      <c r="H44" t="s">
        <v>43</v>
      </c>
      <c r="I44" t="s">
        <v>75</v>
      </c>
      <c r="J44" t="s">
        <v>76</v>
      </c>
      <c r="K44" t="s">
        <v>46</v>
      </c>
      <c r="L44" t="s">
        <v>77</v>
      </c>
      <c r="M44" t="s">
        <v>48</v>
      </c>
      <c r="N44" t="s">
        <v>49</v>
      </c>
      <c r="O44" s="2" t="s">
        <v>40</v>
      </c>
      <c r="P44" s="2">
        <v>11150</v>
      </c>
      <c r="Q44" s="2">
        <v>857.5</v>
      </c>
      <c r="R44" s="2">
        <v>0</v>
      </c>
      <c r="S44" s="2">
        <v>0</v>
      </c>
      <c r="T44" s="2">
        <v>0</v>
      </c>
      <c r="U44" s="2">
        <v>707.5</v>
      </c>
      <c r="V44" s="2">
        <v>18008</v>
      </c>
      <c r="W44" t="s">
        <v>40</v>
      </c>
      <c r="X44" t="s">
        <v>40</v>
      </c>
      <c r="Y44" t="s">
        <v>40</v>
      </c>
      <c r="Z44" t="s">
        <v>40</v>
      </c>
      <c r="AA44" t="s">
        <v>71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40</v>
      </c>
    </row>
    <row r="45" spans="1:36" x14ac:dyDescent="0.25">
      <c r="A45" t="s">
        <v>157</v>
      </c>
      <c r="B45" t="s">
        <v>158</v>
      </c>
      <c r="C45" t="s">
        <v>40</v>
      </c>
      <c r="D45" t="s">
        <v>41</v>
      </c>
      <c r="E45" s="1" t="s">
        <v>159</v>
      </c>
      <c r="F45" t="s">
        <v>40</v>
      </c>
      <c r="G45" s="1" t="s">
        <v>40</v>
      </c>
      <c r="H45" t="s">
        <v>43</v>
      </c>
      <c r="I45" t="s">
        <v>75</v>
      </c>
      <c r="J45" t="s">
        <v>76</v>
      </c>
      <c r="K45" t="s">
        <v>46</v>
      </c>
      <c r="L45" t="s">
        <v>77</v>
      </c>
      <c r="M45" t="s">
        <v>48</v>
      </c>
      <c r="N45" t="s">
        <v>49</v>
      </c>
      <c r="O45" s="2" t="s">
        <v>40</v>
      </c>
      <c r="P45" s="2">
        <v>3500</v>
      </c>
      <c r="Q45" s="2">
        <v>175</v>
      </c>
      <c r="R45" s="2">
        <v>0</v>
      </c>
      <c r="S45" s="2">
        <v>0</v>
      </c>
      <c r="T45" s="2">
        <v>0</v>
      </c>
      <c r="U45" s="2">
        <v>175</v>
      </c>
      <c r="V45" s="2">
        <v>3675</v>
      </c>
      <c r="W45" t="s">
        <v>40</v>
      </c>
      <c r="X45" t="s">
        <v>40</v>
      </c>
      <c r="Y45" t="s">
        <v>40</v>
      </c>
      <c r="Z45" t="s">
        <v>40</v>
      </c>
      <c r="AA45" t="s">
        <v>71</v>
      </c>
      <c r="AB45" t="s">
        <v>40</v>
      </c>
      <c r="AC45" t="s">
        <v>40</v>
      </c>
      <c r="AD45" t="s">
        <v>40</v>
      </c>
      <c r="AE45" t="s">
        <v>40</v>
      </c>
      <c r="AF45" t="s">
        <v>40</v>
      </c>
      <c r="AG45" t="s">
        <v>40</v>
      </c>
      <c r="AH45" t="s">
        <v>40</v>
      </c>
      <c r="AI45" t="s">
        <v>40</v>
      </c>
      <c r="AJ45" t="s">
        <v>40</v>
      </c>
    </row>
    <row r="46" spans="1:36" x14ac:dyDescent="0.25">
      <c r="A46" t="s">
        <v>160</v>
      </c>
      <c r="B46" t="s">
        <v>161</v>
      </c>
      <c r="C46" t="s">
        <v>40</v>
      </c>
      <c r="D46" t="s">
        <v>41</v>
      </c>
      <c r="E46" s="1" t="s">
        <v>159</v>
      </c>
      <c r="F46" t="s">
        <v>40</v>
      </c>
      <c r="G46" s="1" t="s">
        <v>40</v>
      </c>
      <c r="H46" t="s">
        <v>43</v>
      </c>
      <c r="I46" t="s">
        <v>75</v>
      </c>
      <c r="J46" t="s">
        <v>76</v>
      </c>
      <c r="K46" t="s">
        <v>46</v>
      </c>
      <c r="L46" t="s">
        <v>77</v>
      </c>
      <c r="M46" t="s">
        <v>48</v>
      </c>
      <c r="N46" t="s">
        <v>49</v>
      </c>
      <c r="O46" s="2" t="s">
        <v>40</v>
      </c>
      <c r="P46" s="2">
        <v>2000</v>
      </c>
      <c r="Q46" s="2">
        <v>100</v>
      </c>
      <c r="R46" s="2">
        <v>0</v>
      </c>
      <c r="S46" s="2">
        <v>0</v>
      </c>
      <c r="T46" s="2">
        <v>0</v>
      </c>
      <c r="U46" s="2">
        <v>100</v>
      </c>
      <c r="V46" s="2">
        <v>2100</v>
      </c>
      <c r="W46" t="s">
        <v>40</v>
      </c>
      <c r="X46" t="s">
        <v>40</v>
      </c>
      <c r="Y46" t="s">
        <v>40</v>
      </c>
      <c r="Z46" t="s">
        <v>40</v>
      </c>
      <c r="AA46" t="s">
        <v>71</v>
      </c>
      <c r="AB46" t="s">
        <v>40</v>
      </c>
      <c r="AC46" t="s">
        <v>40</v>
      </c>
      <c r="AD46" t="s">
        <v>40</v>
      </c>
      <c r="AE46" t="s">
        <v>40</v>
      </c>
      <c r="AF46" t="s">
        <v>40</v>
      </c>
      <c r="AG46" t="s">
        <v>40</v>
      </c>
      <c r="AH46" t="s">
        <v>40</v>
      </c>
      <c r="AI46" t="s">
        <v>40</v>
      </c>
      <c r="AJ46" t="s">
        <v>40</v>
      </c>
    </row>
    <row r="47" spans="1:36" x14ac:dyDescent="0.25">
      <c r="A47" t="s">
        <v>162</v>
      </c>
      <c r="B47" t="s">
        <v>163</v>
      </c>
      <c r="C47" t="s">
        <v>40</v>
      </c>
      <c r="D47" t="s">
        <v>41</v>
      </c>
      <c r="E47" s="1" t="s">
        <v>164</v>
      </c>
      <c r="F47" t="s">
        <v>40</v>
      </c>
      <c r="G47" s="1" t="s">
        <v>40</v>
      </c>
      <c r="H47" t="s">
        <v>43</v>
      </c>
      <c r="I47" t="s">
        <v>75</v>
      </c>
      <c r="J47" t="s">
        <v>76</v>
      </c>
      <c r="K47" t="s">
        <v>46</v>
      </c>
      <c r="L47" t="s">
        <v>77</v>
      </c>
      <c r="M47" t="s">
        <v>48</v>
      </c>
      <c r="N47" t="s">
        <v>49</v>
      </c>
      <c r="O47" s="2" t="s">
        <v>40</v>
      </c>
      <c r="P47" s="2">
        <v>1500</v>
      </c>
      <c r="Q47" s="2">
        <v>75</v>
      </c>
      <c r="R47" s="2">
        <v>0</v>
      </c>
      <c r="S47" s="2">
        <v>0</v>
      </c>
      <c r="T47" s="2">
        <v>0</v>
      </c>
      <c r="U47" s="2">
        <v>75</v>
      </c>
      <c r="V47" s="2">
        <v>1575</v>
      </c>
      <c r="W47" t="s">
        <v>40</v>
      </c>
      <c r="X47" t="s">
        <v>40</v>
      </c>
      <c r="Y47" t="s">
        <v>40</v>
      </c>
      <c r="Z47" t="s">
        <v>40</v>
      </c>
      <c r="AA47" t="s">
        <v>71</v>
      </c>
      <c r="AB47" t="s">
        <v>40</v>
      </c>
      <c r="AC47" t="s">
        <v>40</v>
      </c>
      <c r="AD47" t="s">
        <v>40</v>
      </c>
      <c r="AE47" t="s">
        <v>40</v>
      </c>
      <c r="AF47" t="s">
        <v>40</v>
      </c>
      <c r="AG47" t="s">
        <v>40</v>
      </c>
      <c r="AH47" t="s">
        <v>40</v>
      </c>
      <c r="AI47" t="s">
        <v>40</v>
      </c>
      <c r="AJ47" t="s">
        <v>40</v>
      </c>
    </row>
    <row r="48" spans="1:36" x14ac:dyDescent="0.25">
      <c r="A48" t="s">
        <v>165</v>
      </c>
      <c r="B48" t="s">
        <v>166</v>
      </c>
      <c r="C48" t="s">
        <v>40</v>
      </c>
      <c r="D48" t="s">
        <v>41</v>
      </c>
      <c r="E48" s="1" t="s">
        <v>164</v>
      </c>
      <c r="F48" t="s">
        <v>40</v>
      </c>
      <c r="G48" s="1" t="s">
        <v>40</v>
      </c>
      <c r="H48" t="s">
        <v>43</v>
      </c>
      <c r="I48" t="s">
        <v>75</v>
      </c>
      <c r="J48" t="s">
        <v>76</v>
      </c>
      <c r="K48" t="s">
        <v>46</v>
      </c>
      <c r="L48" t="s">
        <v>77</v>
      </c>
      <c r="M48" t="s">
        <v>48</v>
      </c>
      <c r="N48" t="s">
        <v>49</v>
      </c>
      <c r="O48" s="2" t="s">
        <v>40</v>
      </c>
      <c r="P48" s="2">
        <v>1500</v>
      </c>
      <c r="Q48" s="2">
        <v>75</v>
      </c>
      <c r="R48" s="2">
        <v>0</v>
      </c>
      <c r="S48" s="2">
        <v>0</v>
      </c>
      <c r="T48" s="2">
        <v>0</v>
      </c>
      <c r="U48" s="2">
        <v>75</v>
      </c>
      <c r="V48" s="2">
        <v>1575</v>
      </c>
      <c r="W48" t="s">
        <v>40</v>
      </c>
      <c r="X48" t="s">
        <v>40</v>
      </c>
      <c r="Y48" t="s">
        <v>40</v>
      </c>
      <c r="Z48" t="s">
        <v>40</v>
      </c>
      <c r="AA48" t="s">
        <v>71</v>
      </c>
      <c r="AB48" t="s">
        <v>40</v>
      </c>
      <c r="AC48" t="s">
        <v>40</v>
      </c>
      <c r="AD48" t="s">
        <v>40</v>
      </c>
      <c r="AE48" t="s">
        <v>40</v>
      </c>
      <c r="AF48" t="s">
        <v>40</v>
      </c>
      <c r="AG48" t="s">
        <v>40</v>
      </c>
      <c r="AH48" t="s">
        <v>40</v>
      </c>
      <c r="AI48" t="s">
        <v>40</v>
      </c>
      <c r="AJ48" t="s">
        <v>40</v>
      </c>
    </row>
    <row r="49" spans="1:36" x14ac:dyDescent="0.25">
      <c r="A49" t="s">
        <v>167</v>
      </c>
      <c r="B49" t="s">
        <v>168</v>
      </c>
      <c r="C49" t="s">
        <v>40</v>
      </c>
      <c r="D49" t="s">
        <v>41</v>
      </c>
      <c r="E49" s="1" t="s">
        <v>164</v>
      </c>
      <c r="F49" t="s">
        <v>40</v>
      </c>
      <c r="G49" s="1" t="s">
        <v>40</v>
      </c>
      <c r="H49" t="s">
        <v>43</v>
      </c>
      <c r="I49" t="s">
        <v>75</v>
      </c>
      <c r="J49" t="s">
        <v>76</v>
      </c>
      <c r="K49" t="s">
        <v>46</v>
      </c>
      <c r="L49" t="s">
        <v>77</v>
      </c>
      <c r="M49" t="s">
        <v>48</v>
      </c>
      <c r="N49" t="s">
        <v>49</v>
      </c>
      <c r="O49" s="2" t="s">
        <v>40</v>
      </c>
      <c r="P49" s="2">
        <v>2500</v>
      </c>
      <c r="Q49" s="2">
        <v>125</v>
      </c>
      <c r="R49" s="2">
        <v>0</v>
      </c>
      <c r="S49" s="2">
        <v>0</v>
      </c>
      <c r="T49" s="2">
        <v>0</v>
      </c>
      <c r="U49" s="2">
        <v>125</v>
      </c>
      <c r="V49" s="2">
        <v>2625</v>
      </c>
      <c r="W49" t="s">
        <v>40</v>
      </c>
      <c r="X49" t="s">
        <v>40</v>
      </c>
      <c r="Y49" t="s">
        <v>40</v>
      </c>
      <c r="Z49" t="s">
        <v>40</v>
      </c>
      <c r="AA49" t="s">
        <v>71</v>
      </c>
      <c r="AB49" t="s">
        <v>40</v>
      </c>
      <c r="AC49" t="s">
        <v>40</v>
      </c>
      <c r="AD49" t="s">
        <v>40</v>
      </c>
      <c r="AE49" t="s">
        <v>40</v>
      </c>
      <c r="AF49" t="s">
        <v>40</v>
      </c>
      <c r="AG49" t="s">
        <v>40</v>
      </c>
      <c r="AH49" t="s">
        <v>40</v>
      </c>
      <c r="AI49" t="s">
        <v>40</v>
      </c>
      <c r="AJ49" t="s">
        <v>40</v>
      </c>
    </row>
    <row r="50" spans="1:36" x14ac:dyDescent="0.25">
      <c r="A50" t="s">
        <v>169</v>
      </c>
      <c r="B50" t="s">
        <v>170</v>
      </c>
      <c r="C50" t="s">
        <v>40</v>
      </c>
      <c r="D50" t="s">
        <v>41</v>
      </c>
      <c r="E50" s="1" t="s">
        <v>171</v>
      </c>
      <c r="F50" t="s">
        <v>40</v>
      </c>
      <c r="G50" s="1" t="s">
        <v>40</v>
      </c>
      <c r="H50" t="s">
        <v>43</v>
      </c>
      <c r="I50" t="s">
        <v>75</v>
      </c>
      <c r="J50" t="s">
        <v>76</v>
      </c>
      <c r="K50" t="s">
        <v>46</v>
      </c>
      <c r="L50" t="s">
        <v>77</v>
      </c>
      <c r="M50" t="s">
        <v>48</v>
      </c>
      <c r="N50" t="s">
        <v>49</v>
      </c>
      <c r="O50" s="2" t="s">
        <v>40</v>
      </c>
      <c r="P50" s="2">
        <v>2500</v>
      </c>
      <c r="Q50" s="2">
        <v>125</v>
      </c>
      <c r="R50" s="2">
        <v>0</v>
      </c>
      <c r="S50" s="2">
        <v>0</v>
      </c>
      <c r="T50" s="2">
        <v>0</v>
      </c>
      <c r="U50" s="2">
        <v>125</v>
      </c>
      <c r="V50" s="2">
        <v>2625</v>
      </c>
      <c r="W50" t="s">
        <v>40</v>
      </c>
      <c r="X50" t="s">
        <v>40</v>
      </c>
      <c r="Y50" t="s">
        <v>40</v>
      </c>
      <c r="Z50" t="s">
        <v>40</v>
      </c>
      <c r="AA50" t="s">
        <v>71</v>
      </c>
      <c r="AB50" t="s">
        <v>40</v>
      </c>
      <c r="AC50" t="s">
        <v>40</v>
      </c>
      <c r="AD50" t="s">
        <v>40</v>
      </c>
      <c r="AE50" t="s">
        <v>40</v>
      </c>
      <c r="AF50" t="s">
        <v>40</v>
      </c>
      <c r="AG50" t="s">
        <v>40</v>
      </c>
      <c r="AH50" t="s">
        <v>40</v>
      </c>
      <c r="AI50" t="s">
        <v>40</v>
      </c>
      <c r="AJ50" t="s">
        <v>40</v>
      </c>
    </row>
    <row r="51" spans="1:36" x14ac:dyDescent="0.25">
      <c r="A51" t="s">
        <v>172</v>
      </c>
      <c r="B51" t="s">
        <v>173</v>
      </c>
      <c r="C51" t="s">
        <v>40</v>
      </c>
      <c r="D51" t="s">
        <v>41</v>
      </c>
      <c r="E51" s="1" t="s">
        <v>171</v>
      </c>
      <c r="F51" t="s">
        <v>40</v>
      </c>
      <c r="G51" s="1" t="s">
        <v>40</v>
      </c>
      <c r="H51" t="s">
        <v>43</v>
      </c>
      <c r="I51" t="s">
        <v>75</v>
      </c>
      <c r="J51" t="s">
        <v>76</v>
      </c>
      <c r="K51" t="s">
        <v>46</v>
      </c>
      <c r="L51" t="s">
        <v>77</v>
      </c>
      <c r="M51" t="s">
        <v>48</v>
      </c>
      <c r="N51" t="s">
        <v>49</v>
      </c>
      <c r="O51" s="2" t="s">
        <v>40</v>
      </c>
      <c r="P51" s="2">
        <v>3800</v>
      </c>
      <c r="Q51" s="2">
        <v>190</v>
      </c>
      <c r="R51" s="2">
        <v>0</v>
      </c>
      <c r="S51" s="2">
        <v>0</v>
      </c>
      <c r="T51" s="2">
        <v>0</v>
      </c>
      <c r="U51" s="2">
        <v>190</v>
      </c>
      <c r="V51" s="2">
        <v>3990</v>
      </c>
      <c r="W51" t="s">
        <v>40</v>
      </c>
      <c r="X51" t="s">
        <v>40</v>
      </c>
      <c r="Y51" t="s">
        <v>40</v>
      </c>
      <c r="Z51" t="s">
        <v>40</v>
      </c>
      <c r="AA51" t="s">
        <v>71</v>
      </c>
      <c r="AB51" t="s">
        <v>40</v>
      </c>
      <c r="AC51" t="s">
        <v>40</v>
      </c>
      <c r="AD51" t="s">
        <v>40</v>
      </c>
      <c r="AE51" t="s">
        <v>40</v>
      </c>
      <c r="AF51" t="s">
        <v>40</v>
      </c>
      <c r="AG51" t="s">
        <v>40</v>
      </c>
      <c r="AH51" t="s">
        <v>40</v>
      </c>
      <c r="AI51" t="s">
        <v>40</v>
      </c>
      <c r="AJ51" t="s">
        <v>40</v>
      </c>
    </row>
    <row r="52" spans="1:36" x14ac:dyDescent="0.25">
      <c r="A52" t="s">
        <v>174</v>
      </c>
      <c r="B52" t="s">
        <v>175</v>
      </c>
      <c r="C52" t="s">
        <v>40</v>
      </c>
      <c r="D52" t="s">
        <v>41</v>
      </c>
      <c r="E52" s="1" t="s">
        <v>171</v>
      </c>
      <c r="F52" t="s">
        <v>40</v>
      </c>
      <c r="G52" s="1" t="s">
        <v>40</v>
      </c>
      <c r="H52" t="s">
        <v>43</v>
      </c>
      <c r="I52" t="s">
        <v>75</v>
      </c>
      <c r="J52" t="s">
        <v>76</v>
      </c>
      <c r="K52" t="s">
        <v>46</v>
      </c>
      <c r="L52" t="s">
        <v>77</v>
      </c>
      <c r="M52" t="s">
        <v>48</v>
      </c>
      <c r="N52" t="s">
        <v>49</v>
      </c>
      <c r="O52" s="2" t="s">
        <v>40</v>
      </c>
      <c r="P52" s="2">
        <v>2500</v>
      </c>
      <c r="Q52" s="2">
        <v>125</v>
      </c>
      <c r="R52" s="2">
        <v>0</v>
      </c>
      <c r="S52" s="2">
        <v>0</v>
      </c>
      <c r="T52" s="2">
        <v>0</v>
      </c>
      <c r="U52" s="2">
        <v>125</v>
      </c>
      <c r="V52" s="2">
        <v>2625</v>
      </c>
      <c r="W52" t="s">
        <v>40</v>
      </c>
      <c r="X52" t="s">
        <v>40</v>
      </c>
      <c r="Y52" t="s">
        <v>40</v>
      </c>
      <c r="Z52" t="s">
        <v>40</v>
      </c>
      <c r="AA52" t="s">
        <v>71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</row>
    <row r="53" spans="1:36" x14ac:dyDescent="0.25">
      <c r="A53" t="s">
        <v>176</v>
      </c>
      <c r="B53" t="s">
        <v>177</v>
      </c>
      <c r="C53" t="s">
        <v>40</v>
      </c>
      <c r="D53" t="s">
        <v>41</v>
      </c>
      <c r="E53" s="1" t="s">
        <v>178</v>
      </c>
      <c r="F53" t="s">
        <v>40</v>
      </c>
      <c r="G53" s="1" t="s">
        <v>40</v>
      </c>
      <c r="H53" t="s">
        <v>43</v>
      </c>
      <c r="I53" t="s">
        <v>75</v>
      </c>
      <c r="J53" t="s">
        <v>76</v>
      </c>
      <c r="K53" t="s">
        <v>46</v>
      </c>
      <c r="L53" t="s">
        <v>77</v>
      </c>
      <c r="M53" t="s">
        <v>48</v>
      </c>
      <c r="N53" t="s">
        <v>49</v>
      </c>
      <c r="O53" s="2" t="s">
        <v>40</v>
      </c>
      <c r="P53" s="2">
        <v>2500</v>
      </c>
      <c r="Q53" s="2">
        <v>125</v>
      </c>
      <c r="R53" s="2">
        <v>0</v>
      </c>
      <c r="S53" s="2">
        <v>0</v>
      </c>
      <c r="T53" s="2">
        <v>0</v>
      </c>
      <c r="U53" s="2">
        <v>125</v>
      </c>
      <c r="V53" s="2">
        <v>2625</v>
      </c>
      <c r="W53" t="s">
        <v>40</v>
      </c>
      <c r="X53" t="s">
        <v>40</v>
      </c>
      <c r="Y53" t="s">
        <v>40</v>
      </c>
      <c r="Z53" t="s">
        <v>40</v>
      </c>
      <c r="AA53" t="s">
        <v>71</v>
      </c>
      <c r="AB53" t="s">
        <v>40</v>
      </c>
      <c r="AC53" t="s">
        <v>40</v>
      </c>
      <c r="AD53" t="s">
        <v>40</v>
      </c>
      <c r="AE53" t="s">
        <v>40</v>
      </c>
      <c r="AF53" t="s">
        <v>40</v>
      </c>
      <c r="AG53" t="s">
        <v>40</v>
      </c>
      <c r="AH53" t="s">
        <v>40</v>
      </c>
      <c r="AI53" t="s">
        <v>40</v>
      </c>
      <c r="AJ53" t="s">
        <v>40</v>
      </c>
    </row>
    <row r="54" spans="1:36" x14ac:dyDescent="0.25">
      <c r="A54" t="s">
        <v>179</v>
      </c>
      <c r="B54" t="s">
        <v>180</v>
      </c>
      <c r="C54" t="s">
        <v>40</v>
      </c>
      <c r="D54" t="s">
        <v>41</v>
      </c>
      <c r="E54" s="1" t="s">
        <v>181</v>
      </c>
      <c r="F54" t="s">
        <v>40</v>
      </c>
      <c r="G54" s="1" t="s">
        <v>40</v>
      </c>
      <c r="H54" t="s">
        <v>43</v>
      </c>
      <c r="I54" t="s">
        <v>75</v>
      </c>
      <c r="J54" t="s">
        <v>76</v>
      </c>
      <c r="K54" t="s">
        <v>46</v>
      </c>
      <c r="L54" t="s">
        <v>77</v>
      </c>
      <c r="M54" t="s">
        <v>48</v>
      </c>
      <c r="N54" t="s">
        <v>49</v>
      </c>
      <c r="O54" s="2" t="s">
        <v>40</v>
      </c>
      <c r="P54" s="2">
        <v>2800</v>
      </c>
      <c r="Q54" s="2">
        <v>140</v>
      </c>
      <c r="R54" s="2">
        <v>0</v>
      </c>
      <c r="S54" s="2">
        <v>0</v>
      </c>
      <c r="T54" s="2">
        <v>0</v>
      </c>
      <c r="U54" s="2">
        <v>140</v>
      </c>
      <c r="V54" s="2">
        <v>2940</v>
      </c>
      <c r="W54" t="s">
        <v>40</v>
      </c>
      <c r="X54" t="s">
        <v>40</v>
      </c>
      <c r="Y54" t="s">
        <v>40</v>
      </c>
      <c r="Z54" t="s">
        <v>40</v>
      </c>
      <c r="AA54" t="s">
        <v>71</v>
      </c>
      <c r="AB54" t="s">
        <v>40</v>
      </c>
      <c r="AC54" t="s">
        <v>40</v>
      </c>
      <c r="AD54" t="s">
        <v>40</v>
      </c>
      <c r="AE54" t="s">
        <v>40</v>
      </c>
      <c r="AF54" t="s">
        <v>40</v>
      </c>
      <c r="AG54" t="s">
        <v>40</v>
      </c>
      <c r="AH54" t="s">
        <v>40</v>
      </c>
      <c r="AI54" t="s">
        <v>40</v>
      </c>
      <c r="AJ54" t="s">
        <v>40</v>
      </c>
    </row>
    <row r="55" spans="1:36" x14ac:dyDescent="0.25">
      <c r="N55" s="20" t="s">
        <v>182</v>
      </c>
      <c r="O55" s="21" t="s">
        <v>182</v>
      </c>
      <c r="P55" s="9">
        <f t="shared" ref="P55:V55" si="1">SUM(P9:P54)</f>
        <v>222917.45</v>
      </c>
      <c r="Q55" s="9">
        <f t="shared" si="1"/>
        <v>6912.5</v>
      </c>
      <c r="R55" s="9">
        <f t="shared" si="1"/>
        <v>2266.6800000000003</v>
      </c>
      <c r="S55" s="9">
        <f t="shared" si="1"/>
        <v>2266.6800000000003</v>
      </c>
      <c r="T55" s="9">
        <f t="shared" si="1"/>
        <v>0</v>
      </c>
      <c r="U55" s="9">
        <f t="shared" si="1"/>
        <v>11295.86</v>
      </c>
      <c r="V55" s="9">
        <f t="shared" si="1"/>
        <v>240364</v>
      </c>
    </row>
    <row r="56" spans="1:36" s="6" customFormat="1" x14ac:dyDescent="0.25">
      <c r="A56" s="6" t="s">
        <v>40</v>
      </c>
      <c r="B56" s="6" t="s">
        <v>183</v>
      </c>
      <c r="C56" s="6" t="s">
        <v>40</v>
      </c>
      <c r="D56" s="6" t="s">
        <v>51</v>
      </c>
      <c r="E56" s="7" t="s">
        <v>184</v>
      </c>
      <c r="F56" s="6" t="s">
        <v>40</v>
      </c>
      <c r="G56" s="7" t="s">
        <v>40</v>
      </c>
      <c r="H56" s="6" t="s">
        <v>43</v>
      </c>
      <c r="I56" s="6" t="s">
        <v>185</v>
      </c>
      <c r="J56" s="6" t="s">
        <v>186</v>
      </c>
      <c r="K56" s="6" t="s">
        <v>46</v>
      </c>
      <c r="L56" s="6" t="s">
        <v>47</v>
      </c>
      <c r="M56" s="6" t="s">
        <v>48</v>
      </c>
      <c r="N56" s="6" t="s">
        <v>49</v>
      </c>
      <c r="O56" s="8" t="s">
        <v>40</v>
      </c>
      <c r="P56" s="8">
        <v>37142.9</v>
      </c>
      <c r="Q56" s="8">
        <v>0</v>
      </c>
      <c r="R56" s="8">
        <v>928.57</v>
      </c>
      <c r="S56" s="8">
        <v>928.57</v>
      </c>
      <c r="T56" s="8">
        <v>0</v>
      </c>
      <c r="U56" s="8">
        <v>1857.14</v>
      </c>
      <c r="V56" s="8">
        <v>39000</v>
      </c>
      <c r="W56" s="6" t="s">
        <v>40</v>
      </c>
      <c r="X56" s="6" t="s">
        <v>40</v>
      </c>
      <c r="Y56" s="6" t="s">
        <v>49</v>
      </c>
      <c r="Z56" s="6" t="s">
        <v>40</v>
      </c>
      <c r="AA56" s="6" t="s">
        <v>187</v>
      </c>
      <c r="AB56" s="6" t="s">
        <v>53</v>
      </c>
      <c r="AC56" s="6" t="s">
        <v>188</v>
      </c>
      <c r="AD56" s="6" t="s">
        <v>129</v>
      </c>
      <c r="AE56" s="6" t="s">
        <v>56</v>
      </c>
      <c r="AF56" s="6" t="s">
        <v>40</v>
      </c>
      <c r="AG56" s="6" t="s">
        <v>57</v>
      </c>
      <c r="AH56" s="6" t="s">
        <v>40</v>
      </c>
      <c r="AI56" s="6" t="s">
        <v>40</v>
      </c>
      <c r="AJ56" s="6" t="s">
        <v>40</v>
      </c>
    </row>
    <row r="57" spans="1:36" s="6" customFormat="1" x14ac:dyDescent="0.25">
      <c r="A57" s="6" t="s">
        <v>40</v>
      </c>
      <c r="B57" s="6" t="s">
        <v>189</v>
      </c>
      <c r="C57" s="6" t="s">
        <v>40</v>
      </c>
      <c r="D57" s="6" t="s">
        <v>51</v>
      </c>
      <c r="E57" s="7" t="s">
        <v>74</v>
      </c>
      <c r="F57" s="6" t="s">
        <v>40</v>
      </c>
      <c r="G57" s="7" t="s">
        <v>40</v>
      </c>
      <c r="H57" s="6" t="s">
        <v>43</v>
      </c>
      <c r="I57" s="6" t="s">
        <v>190</v>
      </c>
      <c r="J57" s="6" t="s">
        <v>76</v>
      </c>
      <c r="K57" s="6" t="s">
        <v>46</v>
      </c>
      <c r="L57" s="6" t="s">
        <v>77</v>
      </c>
      <c r="M57" s="6" t="s">
        <v>48</v>
      </c>
      <c r="N57" s="6" t="s">
        <v>49</v>
      </c>
      <c r="O57" s="8" t="s">
        <v>40</v>
      </c>
      <c r="P57" s="8">
        <v>2800</v>
      </c>
      <c r="Q57" s="8">
        <v>140</v>
      </c>
      <c r="R57" s="8">
        <v>0</v>
      </c>
      <c r="S57" s="8">
        <v>0</v>
      </c>
      <c r="T57" s="8">
        <v>0</v>
      </c>
      <c r="U57" s="8">
        <v>140</v>
      </c>
      <c r="V57" s="8">
        <v>2940</v>
      </c>
      <c r="W57" s="6" t="s">
        <v>40</v>
      </c>
      <c r="X57" s="6" t="s">
        <v>40</v>
      </c>
      <c r="Y57" s="6" t="s">
        <v>49</v>
      </c>
      <c r="Z57" s="6" t="s">
        <v>40</v>
      </c>
      <c r="AA57" s="6" t="s">
        <v>187</v>
      </c>
      <c r="AB57" s="6" t="s">
        <v>53</v>
      </c>
      <c r="AC57" s="6" t="s">
        <v>54</v>
      </c>
      <c r="AD57" s="6" t="s">
        <v>191</v>
      </c>
      <c r="AE57" s="6" t="s">
        <v>56</v>
      </c>
      <c r="AF57" s="6" t="s">
        <v>40</v>
      </c>
      <c r="AG57" s="6" t="s">
        <v>57</v>
      </c>
      <c r="AH57" s="6" t="s">
        <v>40</v>
      </c>
      <c r="AI57" s="6" t="s">
        <v>40</v>
      </c>
      <c r="AJ57" s="6" t="s">
        <v>40</v>
      </c>
    </row>
    <row r="58" spans="1:36" s="6" customFormat="1" x14ac:dyDescent="0.25">
      <c r="A58" s="6" t="s">
        <v>40</v>
      </c>
      <c r="B58" s="6" t="s">
        <v>192</v>
      </c>
      <c r="C58" s="6" t="s">
        <v>40</v>
      </c>
      <c r="D58" s="6" t="s">
        <v>51</v>
      </c>
      <c r="E58" s="7" t="s">
        <v>74</v>
      </c>
      <c r="F58" s="6" t="s">
        <v>40</v>
      </c>
      <c r="G58" s="7" t="s">
        <v>40</v>
      </c>
      <c r="H58" s="6" t="s">
        <v>43</v>
      </c>
      <c r="I58" s="6" t="s">
        <v>190</v>
      </c>
      <c r="J58" s="6" t="s">
        <v>76</v>
      </c>
      <c r="K58" s="6" t="s">
        <v>46</v>
      </c>
      <c r="L58" s="6" t="s">
        <v>77</v>
      </c>
      <c r="M58" s="6" t="s">
        <v>48</v>
      </c>
      <c r="N58" s="6" t="s">
        <v>49</v>
      </c>
      <c r="O58" s="8" t="s">
        <v>40</v>
      </c>
      <c r="P58" s="8">
        <v>2500</v>
      </c>
      <c r="Q58" s="8">
        <v>125</v>
      </c>
      <c r="R58" s="8">
        <v>0</v>
      </c>
      <c r="S58" s="8">
        <v>0</v>
      </c>
      <c r="T58" s="8">
        <v>0</v>
      </c>
      <c r="U58" s="8">
        <v>125</v>
      </c>
      <c r="V58" s="8">
        <v>2625</v>
      </c>
      <c r="W58" s="6" t="s">
        <v>40</v>
      </c>
      <c r="X58" s="6" t="s">
        <v>40</v>
      </c>
      <c r="Y58" s="6" t="s">
        <v>49</v>
      </c>
      <c r="Z58" s="6" t="s">
        <v>40</v>
      </c>
      <c r="AA58" s="6" t="s">
        <v>187</v>
      </c>
      <c r="AB58" s="6" t="s">
        <v>53</v>
      </c>
      <c r="AC58" s="6" t="s">
        <v>54</v>
      </c>
      <c r="AD58" s="6" t="s">
        <v>191</v>
      </c>
      <c r="AE58" s="6" t="s">
        <v>56</v>
      </c>
      <c r="AF58" s="6" t="s">
        <v>40</v>
      </c>
      <c r="AG58" s="6" t="s">
        <v>57</v>
      </c>
      <c r="AH58" s="6" t="s">
        <v>40</v>
      </c>
      <c r="AI58" s="6" t="s">
        <v>40</v>
      </c>
      <c r="AJ58" s="6" t="s">
        <v>40</v>
      </c>
    </row>
    <row r="59" spans="1:36" s="6" customFormat="1" x14ac:dyDescent="0.25">
      <c r="A59" s="6" t="s">
        <v>40</v>
      </c>
      <c r="B59" s="6" t="s">
        <v>193</v>
      </c>
      <c r="C59" s="6" t="s">
        <v>40</v>
      </c>
      <c r="D59" s="6" t="s">
        <v>51</v>
      </c>
      <c r="E59" s="7" t="s">
        <v>74</v>
      </c>
      <c r="F59" s="6" t="s">
        <v>40</v>
      </c>
      <c r="G59" s="7" t="s">
        <v>40</v>
      </c>
      <c r="H59" s="6" t="s">
        <v>43</v>
      </c>
      <c r="I59" s="6" t="s">
        <v>190</v>
      </c>
      <c r="J59" s="6" t="s">
        <v>76</v>
      </c>
      <c r="K59" s="6" t="s">
        <v>46</v>
      </c>
      <c r="L59" s="6" t="s">
        <v>77</v>
      </c>
      <c r="M59" s="6" t="s">
        <v>48</v>
      </c>
      <c r="N59" s="6" t="s">
        <v>49</v>
      </c>
      <c r="O59" s="8" t="s">
        <v>40</v>
      </c>
      <c r="P59" s="8">
        <v>1800</v>
      </c>
      <c r="Q59" s="8">
        <v>90</v>
      </c>
      <c r="R59" s="8">
        <v>0</v>
      </c>
      <c r="S59" s="8">
        <v>0</v>
      </c>
      <c r="T59" s="8">
        <v>0</v>
      </c>
      <c r="U59" s="8">
        <v>90</v>
      </c>
      <c r="V59" s="8">
        <v>1890</v>
      </c>
      <c r="W59" s="6" t="s">
        <v>40</v>
      </c>
      <c r="X59" s="6" t="s">
        <v>40</v>
      </c>
      <c r="Y59" s="6" t="s">
        <v>49</v>
      </c>
      <c r="Z59" s="6" t="s">
        <v>40</v>
      </c>
      <c r="AA59" s="6" t="s">
        <v>187</v>
      </c>
      <c r="AB59" s="6" t="s">
        <v>53</v>
      </c>
      <c r="AC59" s="6" t="s">
        <v>54</v>
      </c>
      <c r="AD59" s="6" t="s">
        <v>191</v>
      </c>
      <c r="AE59" s="6" t="s">
        <v>56</v>
      </c>
      <c r="AF59" s="6" t="s">
        <v>40</v>
      </c>
      <c r="AG59" s="6" t="s">
        <v>57</v>
      </c>
      <c r="AH59" s="6" t="s">
        <v>40</v>
      </c>
      <c r="AI59" s="6" t="s">
        <v>40</v>
      </c>
      <c r="AJ59" s="6" t="s">
        <v>40</v>
      </c>
    </row>
    <row r="60" spans="1:36" s="6" customFormat="1" x14ac:dyDescent="0.25">
      <c r="A60" s="6" t="s">
        <v>40</v>
      </c>
      <c r="B60" s="6" t="s">
        <v>194</v>
      </c>
      <c r="C60" s="6" t="s">
        <v>40</v>
      </c>
      <c r="D60" s="6" t="s">
        <v>51</v>
      </c>
      <c r="E60" s="7" t="s">
        <v>74</v>
      </c>
      <c r="F60" s="6" t="s">
        <v>40</v>
      </c>
      <c r="G60" s="7" t="s">
        <v>40</v>
      </c>
      <c r="H60" s="6" t="s">
        <v>43</v>
      </c>
      <c r="I60" s="6" t="s">
        <v>190</v>
      </c>
      <c r="J60" s="6" t="s">
        <v>76</v>
      </c>
      <c r="K60" s="6" t="s">
        <v>46</v>
      </c>
      <c r="L60" s="6" t="s">
        <v>77</v>
      </c>
      <c r="M60" s="6" t="s">
        <v>48</v>
      </c>
      <c r="N60" s="6" t="s">
        <v>49</v>
      </c>
      <c r="O60" s="8" t="s">
        <v>40</v>
      </c>
      <c r="P60" s="8">
        <v>3500</v>
      </c>
      <c r="Q60" s="8">
        <v>175</v>
      </c>
      <c r="R60" s="8">
        <v>0</v>
      </c>
      <c r="S60" s="8">
        <v>0</v>
      </c>
      <c r="T60" s="8">
        <v>0</v>
      </c>
      <c r="U60" s="8">
        <v>175</v>
      </c>
      <c r="V60" s="8">
        <v>3675</v>
      </c>
      <c r="W60" s="6" t="s">
        <v>40</v>
      </c>
      <c r="X60" s="6" t="s">
        <v>40</v>
      </c>
      <c r="Y60" s="6" t="s">
        <v>49</v>
      </c>
      <c r="Z60" s="6" t="s">
        <v>40</v>
      </c>
      <c r="AA60" s="6" t="s">
        <v>187</v>
      </c>
      <c r="AB60" s="6" t="s">
        <v>53</v>
      </c>
      <c r="AC60" s="6" t="s">
        <v>54</v>
      </c>
      <c r="AD60" s="6" t="s">
        <v>191</v>
      </c>
      <c r="AE60" s="6" t="s">
        <v>56</v>
      </c>
      <c r="AF60" s="6" t="s">
        <v>40</v>
      </c>
      <c r="AG60" s="6" t="s">
        <v>57</v>
      </c>
      <c r="AH60" s="6" t="s">
        <v>40</v>
      </c>
      <c r="AI60" s="6" t="s">
        <v>40</v>
      </c>
      <c r="AJ60" s="6" t="s">
        <v>40</v>
      </c>
    </row>
    <row r="61" spans="1:36" s="6" customFormat="1" x14ac:dyDescent="0.25">
      <c r="A61" s="6" t="s">
        <v>40</v>
      </c>
      <c r="B61" s="6" t="s">
        <v>195</v>
      </c>
      <c r="C61" s="6" t="s">
        <v>40</v>
      </c>
      <c r="D61" s="6" t="s">
        <v>51</v>
      </c>
      <c r="E61" s="7" t="s">
        <v>74</v>
      </c>
      <c r="F61" s="6" t="s">
        <v>40</v>
      </c>
      <c r="G61" s="7" t="s">
        <v>40</v>
      </c>
      <c r="H61" s="6" t="s">
        <v>43</v>
      </c>
      <c r="I61" s="6" t="s">
        <v>190</v>
      </c>
      <c r="J61" s="6" t="s">
        <v>76</v>
      </c>
      <c r="K61" s="6" t="s">
        <v>46</v>
      </c>
      <c r="L61" s="6" t="s">
        <v>77</v>
      </c>
      <c r="M61" s="6" t="s">
        <v>48</v>
      </c>
      <c r="N61" s="6" t="s">
        <v>49</v>
      </c>
      <c r="O61" s="8" t="s">
        <v>40</v>
      </c>
      <c r="P61" s="8">
        <v>2500</v>
      </c>
      <c r="Q61" s="8">
        <v>125</v>
      </c>
      <c r="R61" s="8">
        <v>0</v>
      </c>
      <c r="S61" s="8">
        <v>0</v>
      </c>
      <c r="T61" s="8">
        <v>0</v>
      </c>
      <c r="U61" s="8">
        <v>125</v>
      </c>
      <c r="V61" s="8">
        <v>2625</v>
      </c>
      <c r="W61" s="6" t="s">
        <v>40</v>
      </c>
      <c r="X61" s="6" t="s">
        <v>40</v>
      </c>
      <c r="Y61" s="6" t="s">
        <v>49</v>
      </c>
      <c r="Z61" s="6" t="s">
        <v>40</v>
      </c>
      <c r="AA61" s="6" t="s">
        <v>187</v>
      </c>
      <c r="AB61" s="6" t="s">
        <v>53</v>
      </c>
      <c r="AC61" s="6" t="s">
        <v>54</v>
      </c>
      <c r="AD61" s="6" t="s">
        <v>191</v>
      </c>
      <c r="AE61" s="6" t="s">
        <v>56</v>
      </c>
      <c r="AF61" s="6" t="s">
        <v>40</v>
      </c>
      <c r="AG61" s="6" t="s">
        <v>57</v>
      </c>
      <c r="AH61" s="6" t="s">
        <v>40</v>
      </c>
      <c r="AI61" s="6" t="s">
        <v>40</v>
      </c>
      <c r="AJ61" s="6" t="s">
        <v>40</v>
      </c>
    </row>
    <row r="62" spans="1:36" s="6" customFormat="1" x14ac:dyDescent="0.25">
      <c r="A62" s="6" t="s">
        <v>40</v>
      </c>
      <c r="B62" s="6" t="s">
        <v>196</v>
      </c>
      <c r="C62" s="6" t="s">
        <v>40</v>
      </c>
      <c r="D62" s="6" t="s">
        <v>51</v>
      </c>
      <c r="E62" s="7" t="s">
        <v>74</v>
      </c>
      <c r="F62" s="6" t="s">
        <v>40</v>
      </c>
      <c r="G62" s="7" t="s">
        <v>40</v>
      </c>
      <c r="H62" s="6" t="s">
        <v>43</v>
      </c>
      <c r="I62" s="6" t="s">
        <v>190</v>
      </c>
      <c r="J62" s="6" t="s">
        <v>76</v>
      </c>
      <c r="K62" s="6" t="s">
        <v>46</v>
      </c>
      <c r="L62" s="6" t="s">
        <v>77</v>
      </c>
      <c r="M62" s="6" t="s">
        <v>48</v>
      </c>
      <c r="N62" s="6" t="s">
        <v>49</v>
      </c>
      <c r="O62" s="8" t="s">
        <v>40</v>
      </c>
      <c r="P62" s="8">
        <v>1500</v>
      </c>
      <c r="Q62" s="8">
        <v>75</v>
      </c>
      <c r="R62" s="8">
        <v>0</v>
      </c>
      <c r="S62" s="8">
        <v>0</v>
      </c>
      <c r="T62" s="8">
        <v>0</v>
      </c>
      <c r="U62" s="8">
        <v>75</v>
      </c>
      <c r="V62" s="8">
        <v>1575</v>
      </c>
      <c r="W62" s="6" t="s">
        <v>40</v>
      </c>
      <c r="X62" s="6" t="s">
        <v>40</v>
      </c>
      <c r="Y62" s="6" t="s">
        <v>49</v>
      </c>
      <c r="Z62" s="6" t="s">
        <v>40</v>
      </c>
      <c r="AA62" s="6" t="s">
        <v>187</v>
      </c>
      <c r="AB62" s="6" t="s">
        <v>53</v>
      </c>
      <c r="AC62" s="6" t="s">
        <v>54</v>
      </c>
      <c r="AD62" s="6" t="s">
        <v>191</v>
      </c>
      <c r="AE62" s="6" t="s">
        <v>56</v>
      </c>
      <c r="AF62" s="6" t="s">
        <v>40</v>
      </c>
      <c r="AG62" s="6" t="s">
        <v>57</v>
      </c>
      <c r="AH62" s="6" t="s">
        <v>40</v>
      </c>
      <c r="AI62" s="6" t="s">
        <v>40</v>
      </c>
      <c r="AJ62" s="6" t="s">
        <v>40</v>
      </c>
    </row>
    <row r="63" spans="1:36" s="6" customFormat="1" x14ac:dyDescent="0.25">
      <c r="A63" s="6" t="s">
        <v>40</v>
      </c>
      <c r="B63" s="6" t="s">
        <v>197</v>
      </c>
      <c r="C63" s="6" t="s">
        <v>40</v>
      </c>
      <c r="D63" s="6" t="s">
        <v>51</v>
      </c>
      <c r="E63" s="7" t="s">
        <v>88</v>
      </c>
      <c r="F63" s="6" t="s">
        <v>40</v>
      </c>
      <c r="G63" s="7" t="s">
        <v>40</v>
      </c>
      <c r="H63" s="6" t="s">
        <v>43</v>
      </c>
      <c r="I63" s="6" t="s">
        <v>190</v>
      </c>
      <c r="J63" s="6" t="s">
        <v>76</v>
      </c>
      <c r="K63" s="6" t="s">
        <v>46</v>
      </c>
      <c r="L63" s="6" t="s">
        <v>77</v>
      </c>
      <c r="M63" s="6" t="s">
        <v>48</v>
      </c>
      <c r="N63" s="6" t="s">
        <v>49</v>
      </c>
      <c r="O63" s="8" t="s">
        <v>40</v>
      </c>
      <c r="P63" s="8">
        <v>3000</v>
      </c>
      <c r="Q63" s="8">
        <v>150</v>
      </c>
      <c r="R63" s="8">
        <v>0</v>
      </c>
      <c r="S63" s="8">
        <v>0</v>
      </c>
      <c r="T63" s="8">
        <v>0</v>
      </c>
      <c r="U63" s="8">
        <v>150</v>
      </c>
      <c r="V63" s="8">
        <v>3150</v>
      </c>
      <c r="W63" s="6" t="s">
        <v>40</v>
      </c>
      <c r="X63" s="6" t="s">
        <v>40</v>
      </c>
      <c r="Y63" s="6" t="s">
        <v>49</v>
      </c>
      <c r="Z63" s="6" t="s">
        <v>40</v>
      </c>
      <c r="AA63" s="6" t="s">
        <v>187</v>
      </c>
      <c r="AB63" s="6" t="s">
        <v>53</v>
      </c>
      <c r="AC63" s="6" t="s">
        <v>54</v>
      </c>
      <c r="AD63" s="6" t="s">
        <v>191</v>
      </c>
      <c r="AE63" s="6" t="s">
        <v>56</v>
      </c>
      <c r="AF63" s="6" t="s">
        <v>40</v>
      </c>
      <c r="AG63" s="6" t="s">
        <v>57</v>
      </c>
      <c r="AH63" s="6" t="s">
        <v>40</v>
      </c>
      <c r="AI63" s="6" t="s">
        <v>40</v>
      </c>
      <c r="AJ63" s="6" t="s">
        <v>40</v>
      </c>
    </row>
    <row r="64" spans="1:36" s="6" customFormat="1" x14ac:dyDescent="0.25">
      <c r="A64" s="6" t="s">
        <v>40</v>
      </c>
      <c r="B64" s="6" t="s">
        <v>198</v>
      </c>
      <c r="C64" s="6" t="s">
        <v>40</v>
      </c>
      <c r="D64" s="6" t="s">
        <v>51</v>
      </c>
      <c r="E64" s="7" t="s">
        <v>88</v>
      </c>
      <c r="F64" s="6" t="s">
        <v>40</v>
      </c>
      <c r="G64" s="7" t="s">
        <v>40</v>
      </c>
      <c r="H64" s="6" t="s">
        <v>43</v>
      </c>
      <c r="I64" s="6" t="s">
        <v>190</v>
      </c>
      <c r="J64" s="6" t="s">
        <v>76</v>
      </c>
      <c r="K64" s="6" t="s">
        <v>46</v>
      </c>
      <c r="L64" s="6" t="s">
        <v>77</v>
      </c>
      <c r="M64" s="6" t="s">
        <v>48</v>
      </c>
      <c r="N64" s="6" t="s">
        <v>49</v>
      </c>
      <c r="O64" s="8" t="s">
        <v>40</v>
      </c>
      <c r="P64" s="8">
        <v>3500</v>
      </c>
      <c r="Q64" s="8">
        <v>175</v>
      </c>
      <c r="R64" s="8">
        <v>0</v>
      </c>
      <c r="S64" s="8">
        <v>0</v>
      </c>
      <c r="T64" s="8">
        <v>0</v>
      </c>
      <c r="U64" s="8">
        <v>175</v>
      </c>
      <c r="V64" s="8">
        <v>3675</v>
      </c>
      <c r="W64" s="6" t="s">
        <v>40</v>
      </c>
      <c r="X64" s="6" t="s">
        <v>40</v>
      </c>
      <c r="Y64" s="6" t="s">
        <v>49</v>
      </c>
      <c r="Z64" s="6" t="s">
        <v>40</v>
      </c>
      <c r="AA64" s="6" t="s">
        <v>187</v>
      </c>
      <c r="AB64" s="6" t="s">
        <v>53</v>
      </c>
      <c r="AC64" s="6" t="s">
        <v>54</v>
      </c>
      <c r="AD64" s="6" t="s">
        <v>191</v>
      </c>
      <c r="AE64" s="6" t="s">
        <v>56</v>
      </c>
      <c r="AF64" s="6" t="s">
        <v>40</v>
      </c>
      <c r="AG64" s="6" t="s">
        <v>57</v>
      </c>
      <c r="AH64" s="6" t="s">
        <v>40</v>
      </c>
      <c r="AI64" s="6" t="s">
        <v>40</v>
      </c>
      <c r="AJ64" s="6" t="s">
        <v>40</v>
      </c>
    </row>
    <row r="65" spans="1:36" s="6" customFormat="1" x14ac:dyDescent="0.25">
      <c r="A65" s="6" t="s">
        <v>40</v>
      </c>
      <c r="B65" s="6" t="s">
        <v>199</v>
      </c>
      <c r="C65" s="6" t="s">
        <v>40</v>
      </c>
      <c r="D65" s="6" t="s">
        <v>51</v>
      </c>
      <c r="E65" s="7" t="s">
        <v>88</v>
      </c>
      <c r="F65" s="6" t="s">
        <v>40</v>
      </c>
      <c r="G65" s="7" t="s">
        <v>40</v>
      </c>
      <c r="H65" s="6" t="s">
        <v>43</v>
      </c>
      <c r="I65" s="6" t="s">
        <v>190</v>
      </c>
      <c r="J65" s="6" t="s">
        <v>76</v>
      </c>
      <c r="K65" s="6" t="s">
        <v>46</v>
      </c>
      <c r="L65" s="6" t="s">
        <v>77</v>
      </c>
      <c r="M65" s="6" t="s">
        <v>48</v>
      </c>
      <c r="N65" s="6" t="s">
        <v>49</v>
      </c>
      <c r="O65" s="8" t="s">
        <v>40</v>
      </c>
      <c r="P65" s="8">
        <v>2800</v>
      </c>
      <c r="Q65" s="8">
        <v>140</v>
      </c>
      <c r="R65" s="8">
        <v>0</v>
      </c>
      <c r="S65" s="8">
        <v>0</v>
      </c>
      <c r="T65" s="8">
        <v>0</v>
      </c>
      <c r="U65" s="8">
        <v>140</v>
      </c>
      <c r="V65" s="8">
        <v>2940</v>
      </c>
      <c r="W65" s="6" t="s">
        <v>40</v>
      </c>
      <c r="X65" s="6" t="s">
        <v>40</v>
      </c>
      <c r="Y65" s="6" t="s">
        <v>49</v>
      </c>
      <c r="Z65" s="6" t="s">
        <v>40</v>
      </c>
      <c r="AA65" s="6" t="s">
        <v>187</v>
      </c>
      <c r="AB65" s="6" t="s">
        <v>53</v>
      </c>
      <c r="AC65" s="6" t="s">
        <v>54</v>
      </c>
      <c r="AD65" s="6" t="s">
        <v>191</v>
      </c>
      <c r="AE65" s="6" t="s">
        <v>56</v>
      </c>
      <c r="AF65" s="6" t="s">
        <v>40</v>
      </c>
      <c r="AG65" s="6" t="s">
        <v>57</v>
      </c>
      <c r="AH65" s="6" t="s">
        <v>40</v>
      </c>
      <c r="AI65" s="6" t="s">
        <v>40</v>
      </c>
      <c r="AJ65" s="6" t="s">
        <v>40</v>
      </c>
    </row>
    <row r="66" spans="1:36" s="6" customFormat="1" x14ac:dyDescent="0.25">
      <c r="A66" s="6" t="s">
        <v>40</v>
      </c>
      <c r="B66" s="6" t="s">
        <v>200</v>
      </c>
      <c r="C66" s="6" t="s">
        <v>40</v>
      </c>
      <c r="D66" s="6" t="s">
        <v>51</v>
      </c>
      <c r="E66" s="7" t="s">
        <v>98</v>
      </c>
      <c r="F66" s="6" t="s">
        <v>40</v>
      </c>
      <c r="G66" s="7" t="s">
        <v>40</v>
      </c>
      <c r="H66" s="6" t="s">
        <v>43</v>
      </c>
      <c r="I66" s="6" t="s">
        <v>190</v>
      </c>
      <c r="J66" s="6" t="s">
        <v>76</v>
      </c>
      <c r="K66" s="6" t="s">
        <v>46</v>
      </c>
      <c r="L66" s="6" t="s">
        <v>77</v>
      </c>
      <c r="M66" s="6" t="s">
        <v>48</v>
      </c>
      <c r="N66" s="6" t="s">
        <v>49</v>
      </c>
      <c r="O66" s="8" t="s">
        <v>40</v>
      </c>
      <c r="P66" s="8">
        <v>2800</v>
      </c>
      <c r="Q66" s="8">
        <v>140</v>
      </c>
      <c r="R66" s="8">
        <v>0</v>
      </c>
      <c r="S66" s="8">
        <v>0</v>
      </c>
      <c r="T66" s="8">
        <v>0</v>
      </c>
      <c r="U66" s="8">
        <v>140</v>
      </c>
      <c r="V66" s="8">
        <v>2940</v>
      </c>
      <c r="W66" s="6" t="s">
        <v>40</v>
      </c>
      <c r="X66" s="6" t="s">
        <v>40</v>
      </c>
      <c r="Y66" s="6" t="s">
        <v>49</v>
      </c>
      <c r="Z66" s="6" t="s">
        <v>40</v>
      </c>
      <c r="AA66" s="6" t="s">
        <v>187</v>
      </c>
      <c r="AB66" s="6" t="s">
        <v>53</v>
      </c>
      <c r="AC66" s="6" t="s">
        <v>54</v>
      </c>
      <c r="AD66" s="6" t="s">
        <v>191</v>
      </c>
      <c r="AE66" s="6" t="s">
        <v>56</v>
      </c>
      <c r="AF66" s="6" t="s">
        <v>40</v>
      </c>
      <c r="AG66" s="6" t="s">
        <v>57</v>
      </c>
      <c r="AH66" s="6" t="s">
        <v>40</v>
      </c>
      <c r="AI66" s="6" t="s">
        <v>40</v>
      </c>
      <c r="AJ66" s="6" t="s">
        <v>40</v>
      </c>
    </row>
    <row r="67" spans="1:36" s="6" customFormat="1" x14ac:dyDescent="0.25">
      <c r="A67" s="6" t="s">
        <v>40</v>
      </c>
      <c r="B67" s="6" t="s">
        <v>201</v>
      </c>
      <c r="C67" s="6" t="s">
        <v>40</v>
      </c>
      <c r="D67" s="6" t="s">
        <v>51</v>
      </c>
      <c r="E67" s="7" t="s">
        <v>94</v>
      </c>
      <c r="F67" s="6" t="s">
        <v>40</v>
      </c>
      <c r="G67" s="7" t="s">
        <v>40</v>
      </c>
      <c r="H67" s="6" t="s">
        <v>43</v>
      </c>
      <c r="I67" s="6" t="s">
        <v>185</v>
      </c>
      <c r="J67" s="6" t="s">
        <v>186</v>
      </c>
      <c r="K67" s="6" t="s">
        <v>46</v>
      </c>
      <c r="L67" s="6" t="s">
        <v>47</v>
      </c>
      <c r="M67" s="6" t="s">
        <v>48</v>
      </c>
      <c r="N67" s="6" t="s">
        <v>49</v>
      </c>
      <c r="O67" s="8" t="s">
        <v>40</v>
      </c>
      <c r="P67" s="8">
        <v>37142.9</v>
      </c>
      <c r="Q67" s="8">
        <v>0</v>
      </c>
      <c r="R67" s="8">
        <v>928.57</v>
      </c>
      <c r="S67" s="8">
        <v>928.57</v>
      </c>
      <c r="T67" s="8">
        <v>0</v>
      </c>
      <c r="U67" s="8">
        <v>1857.14</v>
      </c>
      <c r="V67" s="8">
        <v>39000</v>
      </c>
      <c r="W67" s="6" t="s">
        <v>40</v>
      </c>
      <c r="X67" s="6" t="s">
        <v>40</v>
      </c>
      <c r="Y67" s="6" t="s">
        <v>49</v>
      </c>
      <c r="Z67" s="6" t="s">
        <v>40</v>
      </c>
      <c r="AA67" s="6" t="s">
        <v>187</v>
      </c>
      <c r="AB67" s="6" t="s">
        <v>53</v>
      </c>
      <c r="AC67" s="6" t="s">
        <v>54</v>
      </c>
      <c r="AD67" s="6" t="s">
        <v>202</v>
      </c>
      <c r="AE67" s="6" t="s">
        <v>56</v>
      </c>
      <c r="AF67" s="6" t="s">
        <v>40</v>
      </c>
      <c r="AG67" s="6" t="s">
        <v>57</v>
      </c>
      <c r="AH67" s="6" t="s">
        <v>40</v>
      </c>
      <c r="AI67" s="6" t="s">
        <v>40</v>
      </c>
      <c r="AJ67" s="6" t="s">
        <v>40</v>
      </c>
    </row>
    <row r="68" spans="1:36" s="6" customFormat="1" x14ac:dyDescent="0.25">
      <c r="A68" s="6" t="s">
        <v>40</v>
      </c>
      <c r="B68" s="6" t="s">
        <v>203</v>
      </c>
      <c r="C68" s="6" t="s">
        <v>40</v>
      </c>
      <c r="D68" s="6" t="s">
        <v>51</v>
      </c>
      <c r="E68" s="7" t="s">
        <v>94</v>
      </c>
      <c r="F68" s="6" t="s">
        <v>40</v>
      </c>
      <c r="G68" s="7" t="s">
        <v>40</v>
      </c>
      <c r="H68" s="6" t="s">
        <v>43</v>
      </c>
      <c r="I68" s="6" t="s">
        <v>190</v>
      </c>
      <c r="J68" s="6" t="s">
        <v>76</v>
      </c>
      <c r="K68" s="6" t="s">
        <v>46</v>
      </c>
      <c r="L68" s="6" t="s">
        <v>77</v>
      </c>
      <c r="M68" s="6" t="s">
        <v>48</v>
      </c>
      <c r="N68" s="6" t="s">
        <v>49</v>
      </c>
      <c r="O68" s="8" t="s">
        <v>40</v>
      </c>
      <c r="P68" s="8">
        <v>1500</v>
      </c>
      <c r="Q68" s="8">
        <v>75</v>
      </c>
      <c r="R68" s="8">
        <v>0</v>
      </c>
      <c r="S68" s="8">
        <v>0</v>
      </c>
      <c r="T68" s="8">
        <v>0</v>
      </c>
      <c r="U68" s="8">
        <v>75</v>
      </c>
      <c r="V68" s="8">
        <v>1575</v>
      </c>
      <c r="W68" s="6" t="s">
        <v>40</v>
      </c>
      <c r="X68" s="6" t="s">
        <v>40</v>
      </c>
      <c r="Y68" s="6" t="s">
        <v>49</v>
      </c>
      <c r="Z68" s="6" t="s">
        <v>40</v>
      </c>
      <c r="AA68" s="6" t="s">
        <v>187</v>
      </c>
      <c r="AB68" s="6" t="s">
        <v>53</v>
      </c>
      <c r="AC68" s="6" t="s">
        <v>54</v>
      </c>
      <c r="AD68" s="6" t="s">
        <v>191</v>
      </c>
      <c r="AE68" s="6" t="s">
        <v>56</v>
      </c>
      <c r="AF68" s="6" t="s">
        <v>40</v>
      </c>
      <c r="AG68" s="6" t="s">
        <v>57</v>
      </c>
      <c r="AH68" s="6" t="s">
        <v>40</v>
      </c>
      <c r="AI68" s="6" t="s">
        <v>40</v>
      </c>
      <c r="AJ68" s="6" t="s">
        <v>40</v>
      </c>
    </row>
    <row r="69" spans="1:36" s="6" customFormat="1" x14ac:dyDescent="0.25">
      <c r="A69" s="6" t="s">
        <v>40</v>
      </c>
      <c r="B69" s="6" t="s">
        <v>204</v>
      </c>
      <c r="C69" s="6" t="s">
        <v>40</v>
      </c>
      <c r="D69" s="6" t="s">
        <v>51</v>
      </c>
      <c r="E69" s="7" t="s">
        <v>101</v>
      </c>
      <c r="F69" s="6" t="s">
        <v>40</v>
      </c>
      <c r="G69" s="7" t="s">
        <v>40</v>
      </c>
      <c r="H69" s="6" t="s">
        <v>43</v>
      </c>
      <c r="I69" s="6" t="s">
        <v>190</v>
      </c>
      <c r="J69" s="6" t="s">
        <v>76</v>
      </c>
      <c r="K69" s="6" t="s">
        <v>46</v>
      </c>
      <c r="L69" s="6" t="s">
        <v>77</v>
      </c>
      <c r="M69" s="6" t="s">
        <v>48</v>
      </c>
      <c r="N69" s="6" t="s">
        <v>49</v>
      </c>
      <c r="O69" s="8" t="s">
        <v>40</v>
      </c>
      <c r="P69" s="8">
        <v>1500</v>
      </c>
      <c r="Q69" s="8">
        <v>75</v>
      </c>
      <c r="R69" s="8">
        <v>0</v>
      </c>
      <c r="S69" s="8">
        <v>0</v>
      </c>
      <c r="T69" s="8">
        <v>0</v>
      </c>
      <c r="U69" s="8">
        <v>75</v>
      </c>
      <c r="V69" s="8">
        <v>1575</v>
      </c>
      <c r="W69" s="6" t="s">
        <v>40</v>
      </c>
      <c r="X69" s="6" t="s">
        <v>40</v>
      </c>
      <c r="Y69" s="6" t="s">
        <v>49</v>
      </c>
      <c r="Z69" s="6" t="s">
        <v>40</v>
      </c>
      <c r="AA69" s="6" t="s">
        <v>187</v>
      </c>
      <c r="AB69" s="6" t="s">
        <v>53</v>
      </c>
      <c r="AC69" s="6" t="s">
        <v>54</v>
      </c>
      <c r="AD69" s="6" t="s">
        <v>191</v>
      </c>
      <c r="AE69" s="6" t="s">
        <v>56</v>
      </c>
      <c r="AF69" s="6" t="s">
        <v>40</v>
      </c>
      <c r="AG69" s="6" t="s">
        <v>57</v>
      </c>
      <c r="AH69" s="6" t="s">
        <v>40</v>
      </c>
      <c r="AI69" s="6" t="s">
        <v>40</v>
      </c>
      <c r="AJ69" s="6" t="s">
        <v>40</v>
      </c>
    </row>
    <row r="70" spans="1:36" s="6" customFormat="1" x14ac:dyDescent="0.25">
      <c r="A70" s="6" t="s">
        <v>40</v>
      </c>
      <c r="B70" s="6" t="s">
        <v>205</v>
      </c>
      <c r="C70" s="6" t="s">
        <v>40</v>
      </c>
      <c r="D70" s="6" t="s">
        <v>51</v>
      </c>
      <c r="E70" s="7" t="s">
        <v>101</v>
      </c>
      <c r="F70" s="6" t="s">
        <v>40</v>
      </c>
      <c r="G70" s="7" t="s">
        <v>40</v>
      </c>
      <c r="H70" s="6" t="s">
        <v>43</v>
      </c>
      <c r="I70" s="6" t="s">
        <v>190</v>
      </c>
      <c r="J70" s="6" t="s">
        <v>76</v>
      </c>
      <c r="K70" s="6" t="s">
        <v>46</v>
      </c>
      <c r="L70" s="6" t="s">
        <v>77</v>
      </c>
      <c r="M70" s="6" t="s">
        <v>48</v>
      </c>
      <c r="N70" s="6" t="s">
        <v>49</v>
      </c>
      <c r="O70" s="8" t="s">
        <v>40</v>
      </c>
      <c r="P70" s="8">
        <v>2000</v>
      </c>
      <c r="Q70" s="8">
        <v>100</v>
      </c>
      <c r="R70" s="8">
        <v>0</v>
      </c>
      <c r="S70" s="8">
        <v>0</v>
      </c>
      <c r="T70" s="8">
        <v>0</v>
      </c>
      <c r="U70" s="8">
        <v>100</v>
      </c>
      <c r="V70" s="8">
        <v>2100</v>
      </c>
      <c r="W70" s="6" t="s">
        <v>40</v>
      </c>
      <c r="X70" s="6" t="s">
        <v>40</v>
      </c>
      <c r="Y70" s="6" t="s">
        <v>49</v>
      </c>
      <c r="Z70" s="6" t="s">
        <v>40</v>
      </c>
      <c r="AA70" s="6" t="s">
        <v>187</v>
      </c>
      <c r="AB70" s="6" t="s">
        <v>53</v>
      </c>
      <c r="AC70" s="6" t="s">
        <v>54</v>
      </c>
      <c r="AD70" s="6" t="s">
        <v>191</v>
      </c>
      <c r="AE70" s="6" t="s">
        <v>56</v>
      </c>
      <c r="AF70" s="6" t="s">
        <v>40</v>
      </c>
      <c r="AG70" s="6" t="s">
        <v>57</v>
      </c>
      <c r="AH70" s="6" t="s">
        <v>40</v>
      </c>
      <c r="AI70" s="6" t="s">
        <v>40</v>
      </c>
      <c r="AJ70" s="6" t="s">
        <v>40</v>
      </c>
    </row>
    <row r="71" spans="1:36" s="6" customFormat="1" x14ac:dyDescent="0.25">
      <c r="A71" s="6" t="s">
        <v>40</v>
      </c>
      <c r="B71" s="6" t="s">
        <v>206</v>
      </c>
      <c r="C71" s="6" t="s">
        <v>40</v>
      </c>
      <c r="D71" s="6" t="s">
        <v>51</v>
      </c>
      <c r="E71" s="7" t="s">
        <v>106</v>
      </c>
      <c r="F71" s="6" t="s">
        <v>40</v>
      </c>
      <c r="G71" s="7" t="s">
        <v>40</v>
      </c>
      <c r="H71" s="6" t="s">
        <v>43</v>
      </c>
      <c r="I71" s="6" t="s">
        <v>190</v>
      </c>
      <c r="J71" s="6" t="s">
        <v>76</v>
      </c>
      <c r="K71" s="6" t="s">
        <v>46</v>
      </c>
      <c r="L71" s="6" t="s">
        <v>77</v>
      </c>
      <c r="M71" s="6" t="s">
        <v>48</v>
      </c>
      <c r="N71" s="6" t="s">
        <v>49</v>
      </c>
      <c r="O71" s="8" t="s">
        <v>40</v>
      </c>
      <c r="P71" s="8">
        <v>1800</v>
      </c>
      <c r="Q71" s="8">
        <v>90</v>
      </c>
      <c r="R71" s="8">
        <v>0</v>
      </c>
      <c r="S71" s="8">
        <v>0</v>
      </c>
      <c r="T71" s="8">
        <v>0</v>
      </c>
      <c r="U71" s="8">
        <v>90</v>
      </c>
      <c r="V71" s="8">
        <v>1890</v>
      </c>
      <c r="W71" s="6" t="s">
        <v>40</v>
      </c>
      <c r="X71" s="6" t="s">
        <v>40</v>
      </c>
      <c r="Y71" s="6" t="s">
        <v>49</v>
      </c>
      <c r="Z71" s="6" t="s">
        <v>40</v>
      </c>
      <c r="AA71" s="6" t="s">
        <v>187</v>
      </c>
      <c r="AB71" s="6" t="s">
        <v>53</v>
      </c>
      <c r="AC71" s="6" t="s">
        <v>54</v>
      </c>
      <c r="AD71" s="6" t="s">
        <v>191</v>
      </c>
      <c r="AE71" s="6" t="s">
        <v>56</v>
      </c>
      <c r="AF71" s="6" t="s">
        <v>40</v>
      </c>
      <c r="AG71" s="6" t="s">
        <v>57</v>
      </c>
      <c r="AH71" s="6" t="s">
        <v>40</v>
      </c>
      <c r="AI71" s="6" t="s">
        <v>40</v>
      </c>
      <c r="AJ71" s="6" t="s">
        <v>40</v>
      </c>
    </row>
    <row r="72" spans="1:36" s="6" customFormat="1" x14ac:dyDescent="0.25">
      <c r="A72" s="6" t="s">
        <v>40</v>
      </c>
      <c r="B72" s="6" t="s">
        <v>207</v>
      </c>
      <c r="C72" s="6" t="s">
        <v>40</v>
      </c>
      <c r="D72" s="6" t="s">
        <v>51</v>
      </c>
      <c r="E72" s="7" t="s">
        <v>109</v>
      </c>
      <c r="F72" s="6" t="s">
        <v>40</v>
      </c>
      <c r="G72" s="7" t="s">
        <v>40</v>
      </c>
      <c r="H72" s="6" t="s">
        <v>43</v>
      </c>
      <c r="I72" s="6" t="s">
        <v>190</v>
      </c>
      <c r="J72" s="6" t="s">
        <v>76</v>
      </c>
      <c r="K72" s="6" t="s">
        <v>46</v>
      </c>
      <c r="L72" s="6" t="s">
        <v>77</v>
      </c>
      <c r="M72" s="6" t="s">
        <v>48</v>
      </c>
      <c r="N72" s="6" t="s">
        <v>49</v>
      </c>
      <c r="O72" s="8" t="s">
        <v>40</v>
      </c>
      <c r="P72" s="8">
        <v>3000</v>
      </c>
      <c r="Q72" s="8">
        <v>150</v>
      </c>
      <c r="R72" s="8">
        <v>0</v>
      </c>
      <c r="S72" s="8">
        <v>0</v>
      </c>
      <c r="T72" s="8">
        <v>0</v>
      </c>
      <c r="U72" s="8">
        <v>150</v>
      </c>
      <c r="V72" s="8">
        <v>3150</v>
      </c>
      <c r="W72" s="6" t="s">
        <v>40</v>
      </c>
      <c r="X72" s="6" t="s">
        <v>40</v>
      </c>
      <c r="Y72" s="6" t="s">
        <v>49</v>
      </c>
      <c r="Z72" s="6" t="s">
        <v>40</v>
      </c>
      <c r="AA72" s="6" t="s">
        <v>187</v>
      </c>
      <c r="AB72" s="6" t="s">
        <v>53</v>
      </c>
      <c r="AC72" s="6" t="s">
        <v>54</v>
      </c>
      <c r="AD72" s="6" t="s">
        <v>191</v>
      </c>
      <c r="AE72" s="6" t="s">
        <v>56</v>
      </c>
      <c r="AF72" s="6" t="s">
        <v>40</v>
      </c>
      <c r="AG72" s="6" t="s">
        <v>57</v>
      </c>
      <c r="AH72" s="6" t="s">
        <v>40</v>
      </c>
      <c r="AI72" s="6" t="s">
        <v>40</v>
      </c>
      <c r="AJ72" s="6" t="s">
        <v>40</v>
      </c>
    </row>
    <row r="73" spans="1:36" s="6" customFormat="1" x14ac:dyDescent="0.25">
      <c r="A73" s="6" t="s">
        <v>40</v>
      </c>
      <c r="B73" s="6" t="s">
        <v>208</v>
      </c>
      <c r="C73" s="6" t="s">
        <v>40</v>
      </c>
      <c r="D73" s="6" t="s">
        <v>51</v>
      </c>
      <c r="E73" s="7" t="s">
        <v>112</v>
      </c>
      <c r="F73" s="6" t="s">
        <v>40</v>
      </c>
      <c r="G73" s="7" t="s">
        <v>40</v>
      </c>
      <c r="H73" s="6" t="s">
        <v>43</v>
      </c>
      <c r="I73" s="6" t="s">
        <v>190</v>
      </c>
      <c r="J73" s="6" t="s">
        <v>76</v>
      </c>
      <c r="K73" s="6" t="s">
        <v>46</v>
      </c>
      <c r="L73" s="6" t="s">
        <v>77</v>
      </c>
      <c r="M73" s="6" t="s">
        <v>48</v>
      </c>
      <c r="N73" s="6" t="s">
        <v>49</v>
      </c>
      <c r="O73" s="8" t="s">
        <v>40</v>
      </c>
      <c r="P73" s="8">
        <v>4000</v>
      </c>
      <c r="Q73" s="8">
        <v>200</v>
      </c>
      <c r="R73" s="8">
        <v>0</v>
      </c>
      <c r="S73" s="8">
        <v>0</v>
      </c>
      <c r="T73" s="8">
        <v>0</v>
      </c>
      <c r="U73" s="8">
        <v>200</v>
      </c>
      <c r="V73" s="8">
        <v>4200</v>
      </c>
      <c r="W73" s="6" t="s">
        <v>40</v>
      </c>
      <c r="X73" s="6" t="s">
        <v>40</v>
      </c>
      <c r="Y73" s="6" t="s">
        <v>49</v>
      </c>
      <c r="Z73" s="6" t="s">
        <v>40</v>
      </c>
      <c r="AA73" s="6" t="s">
        <v>187</v>
      </c>
      <c r="AB73" s="6" t="s">
        <v>53</v>
      </c>
      <c r="AC73" s="6" t="s">
        <v>54</v>
      </c>
      <c r="AD73" s="6" t="s">
        <v>191</v>
      </c>
      <c r="AE73" s="6" t="s">
        <v>56</v>
      </c>
      <c r="AF73" s="6" t="s">
        <v>40</v>
      </c>
      <c r="AG73" s="6" t="s">
        <v>57</v>
      </c>
      <c r="AH73" s="6" t="s">
        <v>40</v>
      </c>
      <c r="AI73" s="6" t="s">
        <v>40</v>
      </c>
      <c r="AJ73" s="6" t="s">
        <v>40</v>
      </c>
    </row>
    <row r="74" spans="1:36" s="6" customFormat="1" x14ac:dyDescent="0.25">
      <c r="A74" s="6" t="s">
        <v>40</v>
      </c>
      <c r="B74" s="6" t="s">
        <v>209</v>
      </c>
      <c r="C74" s="6" t="s">
        <v>40</v>
      </c>
      <c r="D74" s="6" t="s">
        <v>51</v>
      </c>
      <c r="E74" s="7" t="s">
        <v>112</v>
      </c>
      <c r="F74" s="6" t="s">
        <v>40</v>
      </c>
      <c r="G74" s="7" t="s">
        <v>40</v>
      </c>
      <c r="H74" s="6" t="s">
        <v>43</v>
      </c>
      <c r="I74" s="6" t="s">
        <v>190</v>
      </c>
      <c r="J74" s="6" t="s">
        <v>76</v>
      </c>
      <c r="K74" s="6" t="s">
        <v>46</v>
      </c>
      <c r="L74" s="6" t="s">
        <v>77</v>
      </c>
      <c r="M74" s="6" t="s">
        <v>48</v>
      </c>
      <c r="N74" s="6" t="s">
        <v>49</v>
      </c>
      <c r="O74" s="8" t="s">
        <v>40</v>
      </c>
      <c r="P74" s="8">
        <v>2800</v>
      </c>
      <c r="Q74" s="8">
        <v>140</v>
      </c>
      <c r="R74" s="8">
        <v>0</v>
      </c>
      <c r="S74" s="8">
        <v>0</v>
      </c>
      <c r="T74" s="8">
        <v>0</v>
      </c>
      <c r="U74" s="8">
        <v>140</v>
      </c>
      <c r="V74" s="8">
        <v>2940</v>
      </c>
      <c r="W74" s="6" t="s">
        <v>40</v>
      </c>
      <c r="X74" s="6" t="s">
        <v>40</v>
      </c>
      <c r="Y74" s="6" t="s">
        <v>49</v>
      </c>
      <c r="Z74" s="6" t="s">
        <v>40</v>
      </c>
      <c r="AA74" s="6" t="s">
        <v>187</v>
      </c>
      <c r="AB74" s="6" t="s">
        <v>53</v>
      </c>
      <c r="AC74" s="6" t="s">
        <v>54</v>
      </c>
      <c r="AD74" s="6" t="s">
        <v>191</v>
      </c>
      <c r="AE74" s="6" t="s">
        <v>56</v>
      </c>
      <c r="AF74" s="6" t="s">
        <v>40</v>
      </c>
      <c r="AG74" s="6" t="s">
        <v>57</v>
      </c>
      <c r="AH74" s="6" t="s">
        <v>40</v>
      </c>
      <c r="AI74" s="6" t="s">
        <v>40</v>
      </c>
      <c r="AJ74" s="6" t="s">
        <v>40</v>
      </c>
    </row>
    <row r="75" spans="1:36" s="6" customFormat="1" x14ac:dyDescent="0.25">
      <c r="A75" s="6" t="s">
        <v>40</v>
      </c>
      <c r="B75" s="6" t="s">
        <v>210</v>
      </c>
      <c r="C75" s="6" t="s">
        <v>40</v>
      </c>
      <c r="D75" s="6" t="s">
        <v>51</v>
      </c>
      <c r="E75" s="7" t="s">
        <v>112</v>
      </c>
      <c r="F75" s="6" t="s">
        <v>40</v>
      </c>
      <c r="G75" s="7" t="s">
        <v>40</v>
      </c>
      <c r="H75" s="6" t="s">
        <v>43</v>
      </c>
      <c r="I75" s="6" t="s">
        <v>190</v>
      </c>
      <c r="J75" s="6" t="s">
        <v>76</v>
      </c>
      <c r="K75" s="6" t="s">
        <v>46</v>
      </c>
      <c r="L75" s="6" t="s">
        <v>77</v>
      </c>
      <c r="M75" s="6" t="s">
        <v>48</v>
      </c>
      <c r="N75" s="6" t="s">
        <v>49</v>
      </c>
      <c r="O75" s="8" t="s">
        <v>40</v>
      </c>
      <c r="P75" s="8">
        <v>2500</v>
      </c>
      <c r="Q75" s="8">
        <v>125</v>
      </c>
      <c r="R75" s="8">
        <v>0</v>
      </c>
      <c r="S75" s="8">
        <v>0</v>
      </c>
      <c r="T75" s="8">
        <v>0</v>
      </c>
      <c r="U75" s="8">
        <v>125</v>
      </c>
      <c r="V75" s="8">
        <v>2625</v>
      </c>
      <c r="W75" s="6" t="s">
        <v>40</v>
      </c>
      <c r="X75" s="6" t="s">
        <v>40</v>
      </c>
      <c r="Y75" s="6" t="s">
        <v>49</v>
      </c>
      <c r="Z75" s="6" t="s">
        <v>40</v>
      </c>
      <c r="AA75" s="6" t="s">
        <v>187</v>
      </c>
      <c r="AB75" s="6" t="s">
        <v>53</v>
      </c>
      <c r="AC75" s="6" t="s">
        <v>54</v>
      </c>
      <c r="AD75" s="6" t="s">
        <v>191</v>
      </c>
      <c r="AE75" s="6" t="s">
        <v>56</v>
      </c>
      <c r="AF75" s="6" t="s">
        <v>40</v>
      </c>
      <c r="AG75" s="6" t="s">
        <v>57</v>
      </c>
      <c r="AH75" s="6" t="s">
        <v>40</v>
      </c>
      <c r="AI75" s="6" t="s">
        <v>40</v>
      </c>
      <c r="AJ75" s="6" t="s">
        <v>40</v>
      </c>
    </row>
    <row r="76" spans="1:36" s="6" customFormat="1" x14ac:dyDescent="0.25">
      <c r="A76" s="6" t="s">
        <v>40</v>
      </c>
      <c r="B76" s="6" t="s">
        <v>211</v>
      </c>
      <c r="C76" s="6" t="s">
        <v>40</v>
      </c>
      <c r="D76" s="6" t="s">
        <v>51</v>
      </c>
      <c r="E76" s="7" t="s">
        <v>112</v>
      </c>
      <c r="F76" s="6" t="s">
        <v>40</v>
      </c>
      <c r="G76" s="7" t="s">
        <v>40</v>
      </c>
      <c r="H76" s="6" t="s">
        <v>43</v>
      </c>
      <c r="I76" s="6" t="s">
        <v>190</v>
      </c>
      <c r="J76" s="6" t="s">
        <v>76</v>
      </c>
      <c r="K76" s="6" t="s">
        <v>46</v>
      </c>
      <c r="L76" s="6" t="s">
        <v>77</v>
      </c>
      <c r="M76" s="6" t="s">
        <v>48</v>
      </c>
      <c r="N76" s="6" t="s">
        <v>49</v>
      </c>
      <c r="O76" s="8" t="s">
        <v>40</v>
      </c>
      <c r="P76" s="8">
        <v>3800</v>
      </c>
      <c r="Q76" s="8">
        <v>190</v>
      </c>
      <c r="R76" s="8">
        <v>0</v>
      </c>
      <c r="S76" s="8">
        <v>0</v>
      </c>
      <c r="T76" s="8">
        <v>0</v>
      </c>
      <c r="U76" s="8">
        <v>190</v>
      </c>
      <c r="V76" s="8">
        <v>3990</v>
      </c>
      <c r="W76" s="6" t="s">
        <v>40</v>
      </c>
      <c r="X76" s="6" t="s">
        <v>40</v>
      </c>
      <c r="Y76" s="6" t="s">
        <v>49</v>
      </c>
      <c r="Z76" s="6" t="s">
        <v>40</v>
      </c>
      <c r="AA76" s="6" t="s">
        <v>187</v>
      </c>
      <c r="AB76" s="6" t="s">
        <v>53</v>
      </c>
      <c r="AC76" s="6" t="s">
        <v>54</v>
      </c>
      <c r="AD76" s="6" t="s">
        <v>191</v>
      </c>
      <c r="AE76" s="6" t="s">
        <v>56</v>
      </c>
      <c r="AF76" s="6" t="s">
        <v>40</v>
      </c>
      <c r="AG76" s="6" t="s">
        <v>57</v>
      </c>
      <c r="AH76" s="6" t="s">
        <v>40</v>
      </c>
      <c r="AI76" s="6" t="s">
        <v>40</v>
      </c>
      <c r="AJ76" s="6" t="s">
        <v>40</v>
      </c>
    </row>
    <row r="77" spans="1:36" s="6" customFormat="1" x14ac:dyDescent="0.25">
      <c r="A77" s="6" t="s">
        <v>40</v>
      </c>
      <c r="B77" s="6" t="s">
        <v>212</v>
      </c>
      <c r="C77" s="6" t="s">
        <v>40</v>
      </c>
      <c r="D77" s="6" t="s">
        <v>51</v>
      </c>
      <c r="E77" s="7" t="s">
        <v>42</v>
      </c>
      <c r="F77" s="6" t="s">
        <v>40</v>
      </c>
      <c r="G77" s="7" t="s">
        <v>40</v>
      </c>
      <c r="H77" s="6" t="s">
        <v>43</v>
      </c>
      <c r="I77" s="6" t="s">
        <v>213</v>
      </c>
      <c r="J77" s="6" t="s">
        <v>214</v>
      </c>
      <c r="K77" s="6" t="s">
        <v>46</v>
      </c>
      <c r="L77" s="6" t="s">
        <v>77</v>
      </c>
      <c r="M77" s="6" t="s">
        <v>48</v>
      </c>
      <c r="N77" s="6" t="s">
        <v>49</v>
      </c>
      <c r="O77" s="8" t="s">
        <v>40</v>
      </c>
      <c r="P77" s="8">
        <v>834.75</v>
      </c>
      <c r="Q77" s="8">
        <v>150.25</v>
      </c>
      <c r="R77" s="8">
        <v>0</v>
      </c>
      <c r="S77" s="8">
        <v>0</v>
      </c>
      <c r="T77" s="8">
        <v>0</v>
      </c>
      <c r="U77" s="8">
        <v>150.25</v>
      </c>
      <c r="V77" s="8">
        <v>985</v>
      </c>
      <c r="W77" s="6" t="s">
        <v>40</v>
      </c>
      <c r="X77" s="6" t="s">
        <v>40</v>
      </c>
      <c r="Y77" s="6" t="s">
        <v>49</v>
      </c>
      <c r="Z77" s="6" t="s">
        <v>40</v>
      </c>
      <c r="AA77" s="6" t="s">
        <v>187</v>
      </c>
      <c r="AB77" s="6" t="s">
        <v>53</v>
      </c>
      <c r="AC77" s="6" t="s">
        <v>54</v>
      </c>
      <c r="AD77" s="6" t="s">
        <v>55</v>
      </c>
      <c r="AE77" s="6" t="s">
        <v>56</v>
      </c>
      <c r="AF77" s="6" t="s">
        <v>40</v>
      </c>
      <c r="AG77" s="6" t="s">
        <v>57</v>
      </c>
      <c r="AH77" s="6" t="s">
        <v>40</v>
      </c>
      <c r="AI77" s="6" t="s">
        <v>40</v>
      </c>
      <c r="AJ77" s="6" t="s">
        <v>40</v>
      </c>
    </row>
    <row r="78" spans="1:36" s="6" customFormat="1" x14ac:dyDescent="0.25">
      <c r="A78" s="6" t="s">
        <v>40</v>
      </c>
      <c r="B78" s="6" t="s">
        <v>215</v>
      </c>
      <c r="C78" s="6" t="s">
        <v>40</v>
      </c>
      <c r="D78" s="6" t="s">
        <v>51</v>
      </c>
      <c r="E78" s="7" t="s">
        <v>42</v>
      </c>
      <c r="F78" s="6" t="s">
        <v>40</v>
      </c>
      <c r="G78" s="7" t="s">
        <v>40</v>
      </c>
      <c r="H78" s="6" t="s">
        <v>43</v>
      </c>
      <c r="I78" s="6" t="s">
        <v>216</v>
      </c>
      <c r="J78" s="6" t="s">
        <v>217</v>
      </c>
      <c r="K78" s="6" t="s">
        <v>46</v>
      </c>
      <c r="L78" s="6" t="s">
        <v>47</v>
      </c>
      <c r="M78" s="6" t="s">
        <v>48</v>
      </c>
      <c r="N78" s="6" t="s">
        <v>49</v>
      </c>
      <c r="O78" s="8" t="s">
        <v>40</v>
      </c>
      <c r="P78" s="8">
        <v>21762</v>
      </c>
      <c r="Q78" s="8">
        <v>0</v>
      </c>
      <c r="R78" s="8">
        <v>543</v>
      </c>
      <c r="S78" s="8">
        <v>543</v>
      </c>
      <c r="T78" s="8">
        <v>0</v>
      </c>
      <c r="U78" s="8">
        <v>1086</v>
      </c>
      <c r="V78" s="8">
        <v>22848</v>
      </c>
      <c r="W78" s="6" t="s">
        <v>40</v>
      </c>
      <c r="X78" s="6" t="s">
        <v>40</v>
      </c>
      <c r="Y78" s="6" t="s">
        <v>49</v>
      </c>
      <c r="Z78" s="6" t="s">
        <v>40</v>
      </c>
      <c r="AA78" s="6" t="s">
        <v>187</v>
      </c>
      <c r="AB78" s="6" t="s">
        <v>53</v>
      </c>
      <c r="AC78" s="6" t="s">
        <v>54</v>
      </c>
      <c r="AD78" s="6" t="s">
        <v>55</v>
      </c>
      <c r="AE78" s="6" t="s">
        <v>56</v>
      </c>
      <c r="AF78" s="6" t="s">
        <v>40</v>
      </c>
      <c r="AG78" s="6" t="s">
        <v>57</v>
      </c>
      <c r="AH78" s="6" t="s">
        <v>40</v>
      </c>
      <c r="AI78" s="6" t="s">
        <v>40</v>
      </c>
      <c r="AJ78" s="6" t="s">
        <v>40</v>
      </c>
    </row>
    <row r="79" spans="1:36" s="6" customFormat="1" x14ac:dyDescent="0.25">
      <c r="A79" s="6" t="s">
        <v>40</v>
      </c>
      <c r="B79" s="6" t="s">
        <v>218</v>
      </c>
      <c r="C79" s="6" t="s">
        <v>40</v>
      </c>
      <c r="D79" s="6" t="s">
        <v>51</v>
      </c>
      <c r="E79" s="7" t="s">
        <v>42</v>
      </c>
      <c r="F79" s="6" t="s">
        <v>40</v>
      </c>
      <c r="G79" s="7" t="s">
        <v>40</v>
      </c>
      <c r="H79" s="6" t="s">
        <v>219</v>
      </c>
      <c r="I79" s="6" t="s">
        <v>216</v>
      </c>
      <c r="J79" s="6" t="s">
        <v>217</v>
      </c>
      <c r="K79" s="6" t="s">
        <v>46</v>
      </c>
      <c r="L79" s="6" t="s">
        <v>47</v>
      </c>
      <c r="M79" s="6" t="s">
        <v>220</v>
      </c>
      <c r="N79" s="6" t="s">
        <v>49</v>
      </c>
      <c r="O79" s="8" t="s">
        <v>40</v>
      </c>
      <c r="P79" s="8">
        <v>10771</v>
      </c>
      <c r="Q79" s="8">
        <v>0</v>
      </c>
      <c r="R79" s="8">
        <v>269</v>
      </c>
      <c r="S79" s="8">
        <v>269</v>
      </c>
      <c r="T79" s="8">
        <v>0</v>
      </c>
      <c r="U79" s="8">
        <v>538</v>
      </c>
      <c r="V79" s="8">
        <v>11309</v>
      </c>
      <c r="W79" s="6" t="s">
        <v>40</v>
      </c>
      <c r="X79" s="6" t="s">
        <v>40</v>
      </c>
      <c r="Y79" s="6" t="s">
        <v>49</v>
      </c>
      <c r="Z79" s="6" t="s">
        <v>40</v>
      </c>
      <c r="AA79" s="6" t="s">
        <v>187</v>
      </c>
      <c r="AB79" s="6" t="s">
        <v>53</v>
      </c>
      <c r="AC79" s="6" t="s">
        <v>54</v>
      </c>
      <c r="AD79" s="6" t="s">
        <v>55</v>
      </c>
      <c r="AE79" s="6" t="s">
        <v>56</v>
      </c>
      <c r="AF79" s="6" t="s">
        <v>40</v>
      </c>
      <c r="AG79" s="6" t="s">
        <v>57</v>
      </c>
      <c r="AH79" s="6" t="s">
        <v>40</v>
      </c>
      <c r="AI79" s="6" t="s">
        <v>40</v>
      </c>
      <c r="AJ79" s="6" t="s">
        <v>40</v>
      </c>
    </row>
    <row r="80" spans="1:36" s="6" customFormat="1" x14ac:dyDescent="0.25">
      <c r="A80" s="6" t="s">
        <v>40</v>
      </c>
      <c r="B80" s="6" t="s">
        <v>221</v>
      </c>
      <c r="C80" s="6" t="s">
        <v>40</v>
      </c>
      <c r="D80" s="6" t="s">
        <v>51</v>
      </c>
      <c r="E80" s="7" t="s">
        <v>121</v>
      </c>
      <c r="F80" s="6" t="s">
        <v>40</v>
      </c>
      <c r="G80" s="7" t="s">
        <v>40</v>
      </c>
      <c r="H80" s="6" t="s">
        <v>43</v>
      </c>
      <c r="I80" s="6" t="s">
        <v>190</v>
      </c>
      <c r="J80" s="6" t="s">
        <v>76</v>
      </c>
      <c r="K80" s="6" t="s">
        <v>46</v>
      </c>
      <c r="L80" s="6" t="s">
        <v>77</v>
      </c>
      <c r="M80" s="6" t="s">
        <v>48</v>
      </c>
      <c r="N80" s="6" t="s">
        <v>49</v>
      </c>
      <c r="O80" s="8" t="s">
        <v>40</v>
      </c>
      <c r="P80" s="8">
        <v>1500</v>
      </c>
      <c r="Q80" s="8">
        <v>75</v>
      </c>
      <c r="R80" s="8">
        <v>0</v>
      </c>
      <c r="S80" s="8">
        <v>0</v>
      </c>
      <c r="T80" s="8">
        <v>0</v>
      </c>
      <c r="U80" s="8">
        <v>75</v>
      </c>
      <c r="V80" s="8">
        <v>1575</v>
      </c>
      <c r="W80" s="6" t="s">
        <v>40</v>
      </c>
      <c r="X80" s="6" t="s">
        <v>40</v>
      </c>
      <c r="Y80" s="6" t="s">
        <v>49</v>
      </c>
      <c r="Z80" s="6" t="s">
        <v>40</v>
      </c>
      <c r="AA80" s="6" t="s">
        <v>187</v>
      </c>
      <c r="AB80" s="6" t="s">
        <v>53</v>
      </c>
      <c r="AC80" s="6" t="s">
        <v>54</v>
      </c>
      <c r="AD80" s="6" t="s">
        <v>191</v>
      </c>
      <c r="AE80" s="6" t="s">
        <v>56</v>
      </c>
      <c r="AF80" s="6" t="s">
        <v>40</v>
      </c>
      <c r="AG80" s="6" t="s">
        <v>57</v>
      </c>
      <c r="AH80" s="6" t="s">
        <v>40</v>
      </c>
      <c r="AI80" s="6" t="s">
        <v>40</v>
      </c>
      <c r="AJ80" s="6" t="s">
        <v>40</v>
      </c>
    </row>
    <row r="81" spans="1:36" s="6" customFormat="1" x14ac:dyDescent="0.25">
      <c r="A81" s="6" t="s">
        <v>40</v>
      </c>
      <c r="B81" s="6" t="s">
        <v>222</v>
      </c>
      <c r="C81" s="6" t="s">
        <v>40</v>
      </c>
      <c r="D81" s="6" t="s">
        <v>51</v>
      </c>
      <c r="E81" s="7" t="s">
        <v>121</v>
      </c>
      <c r="F81" s="6" t="s">
        <v>40</v>
      </c>
      <c r="G81" s="7" t="s">
        <v>40</v>
      </c>
      <c r="H81" s="6" t="s">
        <v>43</v>
      </c>
      <c r="I81" s="6" t="s">
        <v>190</v>
      </c>
      <c r="J81" s="6" t="s">
        <v>76</v>
      </c>
      <c r="K81" s="6" t="s">
        <v>46</v>
      </c>
      <c r="L81" s="6" t="s">
        <v>77</v>
      </c>
      <c r="M81" s="6" t="s">
        <v>48</v>
      </c>
      <c r="N81" s="6" t="s">
        <v>49</v>
      </c>
      <c r="O81" s="8" t="s">
        <v>40</v>
      </c>
      <c r="P81" s="8">
        <v>3000</v>
      </c>
      <c r="Q81" s="8">
        <v>150</v>
      </c>
      <c r="R81" s="8">
        <v>0</v>
      </c>
      <c r="S81" s="8">
        <v>0</v>
      </c>
      <c r="T81" s="8">
        <v>0</v>
      </c>
      <c r="U81" s="8">
        <v>150</v>
      </c>
      <c r="V81" s="8">
        <v>3150</v>
      </c>
      <c r="W81" s="6" t="s">
        <v>40</v>
      </c>
      <c r="X81" s="6" t="s">
        <v>40</v>
      </c>
      <c r="Y81" s="6" t="s">
        <v>49</v>
      </c>
      <c r="Z81" s="6" t="s">
        <v>40</v>
      </c>
      <c r="AA81" s="6" t="s">
        <v>187</v>
      </c>
      <c r="AB81" s="6" t="s">
        <v>53</v>
      </c>
      <c r="AC81" s="6" t="s">
        <v>54</v>
      </c>
      <c r="AD81" s="6" t="s">
        <v>191</v>
      </c>
      <c r="AE81" s="6" t="s">
        <v>56</v>
      </c>
      <c r="AF81" s="6" t="s">
        <v>40</v>
      </c>
      <c r="AG81" s="6" t="s">
        <v>57</v>
      </c>
      <c r="AH81" s="6" t="s">
        <v>40</v>
      </c>
      <c r="AI81" s="6" t="s">
        <v>40</v>
      </c>
      <c r="AJ81" s="6" t="s">
        <v>40</v>
      </c>
    </row>
    <row r="82" spans="1:36" s="6" customFormat="1" x14ac:dyDescent="0.25">
      <c r="A82" s="6" t="s">
        <v>40</v>
      </c>
      <c r="B82" s="6" t="s">
        <v>223</v>
      </c>
      <c r="C82" s="6" t="s">
        <v>40</v>
      </c>
      <c r="D82" s="6" t="s">
        <v>51</v>
      </c>
      <c r="E82" s="7" t="s">
        <v>121</v>
      </c>
      <c r="F82" s="6" t="s">
        <v>40</v>
      </c>
      <c r="G82" s="7" t="s">
        <v>40</v>
      </c>
      <c r="H82" s="6" t="s">
        <v>43</v>
      </c>
      <c r="I82" s="6" t="s">
        <v>190</v>
      </c>
      <c r="J82" s="6" t="s">
        <v>76</v>
      </c>
      <c r="K82" s="6" t="s">
        <v>46</v>
      </c>
      <c r="L82" s="6" t="s">
        <v>77</v>
      </c>
      <c r="M82" s="6" t="s">
        <v>48</v>
      </c>
      <c r="N82" s="6" t="s">
        <v>49</v>
      </c>
      <c r="O82" s="8" t="s">
        <v>40</v>
      </c>
      <c r="P82" s="8">
        <v>1800</v>
      </c>
      <c r="Q82" s="8">
        <v>90</v>
      </c>
      <c r="R82" s="8">
        <v>0</v>
      </c>
      <c r="S82" s="8">
        <v>0</v>
      </c>
      <c r="T82" s="8">
        <v>0</v>
      </c>
      <c r="U82" s="8">
        <v>90</v>
      </c>
      <c r="V82" s="8">
        <v>1890</v>
      </c>
      <c r="W82" s="6" t="s">
        <v>40</v>
      </c>
      <c r="X82" s="6" t="s">
        <v>40</v>
      </c>
      <c r="Y82" s="6" t="s">
        <v>49</v>
      </c>
      <c r="Z82" s="6" t="s">
        <v>40</v>
      </c>
      <c r="AA82" s="6" t="s">
        <v>187</v>
      </c>
      <c r="AB82" s="6" t="s">
        <v>53</v>
      </c>
      <c r="AC82" s="6" t="s">
        <v>54</v>
      </c>
      <c r="AD82" s="6" t="s">
        <v>191</v>
      </c>
      <c r="AE82" s="6" t="s">
        <v>56</v>
      </c>
      <c r="AF82" s="6" t="s">
        <v>40</v>
      </c>
      <c r="AG82" s="6" t="s">
        <v>57</v>
      </c>
      <c r="AH82" s="6" t="s">
        <v>40</v>
      </c>
      <c r="AI82" s="6" t="s">
        <v>40</v>
      </c>
      <c r="AJ82" s="6" t="s">
        <v>40</v>
      </c>
    </row>
    <row r="83" spans="1:36" s="6" customFormat="1" x14ac:dyDescent="0.25">
      <c r="A83" s="6" t="s">
        <v>40</v>
      </c>
      <c r="B83" s="6" t="s">
        <v>224</v>
      </c>
      <c r="C83" s="6" t="s">
        <v>40</v>
      </c>
      <c r="D83" s="6" t="s">
        <v>51</v>
      </c>
      <c r="E83" s="7" t="s">
        <v>121</v>
      </c>
      <c r="F83" s="6" t="s">
        <v>40</v>
      </c>
      <c r="G83" s="7" t="s">
        <v>40</v>
      </c>
      <c r="H83" s="6" t="s">
        <v>43</v>
      </c>
      <c r="I83" s="6" t="s">
        <v>190</v>
      </c>
      <c r="J83" s="6" t="s">
        <v>76</v>
      </c>
      <c r="K83" s="6" t="s">
        <v>46</v>
      </c>
      <c r="L83" s="6" t="s">
        <v>77</v>
      </c>
      <c r="M83" s="6" t="s">
        <v>48</v>
      </c>
      <c r="N83" s="6" t="s">
        <v>49</v>
      </c>
      <c r="O83" s="8" t="s">
        <v>40</v>
      </c>
      <c r="P83" s="8">
        <v>3000</v>
      </c>
      <c r="Q83" s="8">
        <v>150</v>
      </c>
      <c r="R83" s="8">
        <v>0</v>
      </c>
      <c r="S83" s="8">
        <v>0</v>
      </c>
      <c r="T83" s="8">
        <v>0</v>
      </c>
      <c r="U83" s="8">
        <v>150</v>
      </c>
      <c r="V83" s="8">
        <v>3150</v>
      </c>
      <c r="W83" s="6" t="s">
        <v>40</v>
      </c>
      <c r="X83" s="6" t="s">
        <v>40</v>
      </c>
      <c r="Y83" s="6" t="s">
        <v>49</v>
      </c>
      <c r="Z83" s="6" t="s">
        <v>40</v>
      </c>
      <c r="AA83" s="6" t="s">
        <v>187</v>
      </c>
      <c r="AB83" s="6" t="s">
        <v>53</v>
      </c>
      <c r="AC83" s="6" t="s">
        <v>54</v>
      </c>
      <c r="AD83" s="6" t="s">
        <v>191</v>
      </c>
      <c r="AE83" s="6" t="s">
        <v>56</v>
      </c>
      <c r="AF83" s="6" t="s">
        <v>40</v>
      </c>
      <c r="AG83" s="6" t="s">
        <v>57</v>
      </c>
      <c r="AH83" s="6" t="s">
        <v>40</v>
      </c>
      <c r="AI83" s="6" t="s">
        <v>40</v>
      </c>
      <c r="AJ83" s="6" t="s">
        <v>40</v>
      </c>
    </row>
    <row r="84" spans="1:36" s="6" customFormat="1" x14ac:dyDescent="0.25">
      <c r="A84" s="6" t="s">
        <v>40</v>
      </c>
      <c r="B84" s="6" t="s">
        <v>225</v>
      </c>
      <c r="C84" s="6" t="s">
        <v>40</v>
      </c>
      <c r="D84" s="6" t="s">
        <v>51</v>
      </c>
      <c r="E84" s="7" t="s">
        <v>129</v>
      </c>
      <c r="F84" s="6" t="s">
        <v>40</v>
      </c>
      <c r="G84" s="7" t="s">
        <v>40</v>
      </c>
      <c r="H84" s="6" t="s">
        <v>43</v>
      </c>
      <c r="I84" s="6" t="s">
        <v>190</v>
      </c>
      <c r="J84" s="6" t="s">
        <v>76</v>
      </c>
      <c r="K84" s="6" t="s">
        <v>46</v>
      </c>
      <c r="L84" s="6" t="s">
        <v>77</v>
      </c>
      <c r="M84" s="6" t="s">
        <v>48</v>
      </c>
      <c r="N84" s="6" t="s">
        <v>49</v>
      </c>
      <c r="O84" s="8" t="s">
        <v>40</v>
      </c>
      <c r="P84" s="8">
        <v>2800</v>
      </c>
      <c r="Q84" s="8">
        <v>140</v>
      </c>
      <c r="R84" s="8">
        <v>0</v>
      </c>
      <c r="S84" s="8">
        <v>0</v>
      </c>
      <c r="T84" s="8">
        <v>0</v>
      </c>
      <c r="U84" s="8">
        <v>140</v>
      </c>
      <c r="V84" s="8">
        <v>2940</v>
      </c>
      <c r="W84" s="6" t="s">
        <v>40</v>
      </c>
      <c r="X84" s="6" t="s">
        <v>40</v>
      </c>
      <c r="Y84" s="6" t="s">
        <v>49</v>
      </c>
      <c r="Z84" s="6" t="s">
        <v>40</v>
      </c>
      <c r="AA84" s="6" t="s">
        <v>187</v>
      </c>
      <c r="AB84" s="6" t="s">
        <v>53</v>
      </c>
      <c r="AC84" s="6" t="s">
        <v>54</v>
      </c>
      <c r="AD84" s="6" t="s">
        <v>191</v>
      </c>
      <c r="AE84" s="6" t="s">
        <v>56</v>
      </c>
      <c r="AF84" s="6" t="s">
        <v>40</v>
      </c>
      <c r="AG84" s="6" t="s">
        <v>57</v>
      </c>
      <c r="AH84" s="6" t="s">
        <v>40</v>
      </c>
      <c r="AI84" s="6" t="s">
        <v>40</v>
      </c>
      <c r="AJ84" s="6" t="s">
        <v>40</v>
      </c>
    </row>
    <row r="85" spans="1:36" s="6" customFormat="1" x14ac:dyDescent="0.25">
      <c r="A85" s="6" t="s">
        <v>40</v>
      </c>
      <c r="B85" s="6" t="s">
        <v>226</v>
      </c>
      <c r="C85" s="6" t="s">
        <v>40</v>
      </c>
      <c r="D85" s="6" t="s">
        <v>51</v>
      </c>
      <c r="E85" s="7" t="s">
        <v>227</v>
      </c>
      <c r="F85" s="6" t="s">
        <v>40</v>
      </c>
      <c r="G85" s="7" t="s">
        <v>40</v>
      </c>
      <c r="H85" s="6" t="s">
        <v>43</v>
      </c>
      <c r="I85" s="6" t="s">
        <v>213</v>
      </c>
      <c r="J85" s="6" t="s">
        <v>214</v>
      </c>
      <c r="K85" s="6" t="s">
        <v>46</v>
      </c>
      <c r="L85" s="6" t="s">
        <v>77</v>
      </c>
      <c r="M85" s="6" t="s">
        <v>48</v>
      </c>
      <c r="N85" s="6" t="s">
        <v>49</v>
      </c>
      <c r="O85" s="8" t="s">
        <v>40</v>
      </c>
      <c r="P85" s="8">
        <v>877.97</v>
      </c>
      <c r="Q85" s="8">
        <v>158.03</v>
      </c>
      <c r="R85" s="8">
        <v>0</v>
      </c>
      <c r="S85" s="8">
        <v>0</v>
      </c>
      <c r="T85" s="8">
        <v>0</v>
      </c>
      <c r="U85" s="8">
        <v>158.03</v>
      </c>
      <c r="V85" s="8">
        <v>1036</v>
      </c>
      <c r="W85" s="6" t="s">
        <v>40</v>
      </c>
      <c r="X85" s="6" t="s">
        <v>40</v>
      </c>
      <c r="Y85" s="6" t="s">
        <v>49</v>
      </c>
      <c r="Z85" s="6" t="s">
        <v>40</v>
      </c>
      <c r="AA85" s="6" t="s">
        <v>187</v>
      </c>
      <c r="AB85" s="6" t="s">
        <v>53</v>
      </c>
      <c r="AC85" s="6" t="s">
        <v>54</v>
      </c>
      <c r="AD85" s="6" t="s">
        <v>55</v>
      </c>
      <c r="AE85" s="6" t="s">
        <v>56</v>
      </c>
      <c r="AF85" s="6" t="s">
        <v>40</v>
      </c>
      <c r="AG85" s="6" t="s">
        <v>57</v>
      </c>
      <c r="AH85" s="6" t="s">
        <v>40</v>
      </c>
      <c r="AI85" s="6" t="s">
        <v>40</v>
      </c>
      <c r="AJ85" s="6" t="s">
        <v>40</v>
      </c>
    </row>
    <row r="86" spans="1:36" s="6" customFormat="1" x14ac:dyDescent="0.25">
      <c r="A86" s="6" t="s">
        <v>40</v>
      </c>
      <c r="B86" s="6" t="s">
        <v>228</v>
      </c>
      <c r="C86" s="6" t="s">
        <v>40</v>
      </c>
      <c r="D86" s="6" t="s">
        <v>51</v>
      </c>
      <c r="E86" s="7" t="s">
        <v>227</v>
      </c>
      <c r="F86" s="6" t="s">
        <v>40</v>
      </c>
      <c r="G86" s="7" t="s">
        <v>40</v>
      </c>
      <c r="H86" s="6" t="s">
        <v>43</v>
      </c>
      <c r="I86" s="6" t="s">
        <v>216</v>
      </c>
      <c r="J86" s="6" t="s">
        <v>217</v>
      </c>
      <c r="K86" s="6" t="s">
        <v>46</v>
      </c>
      <c r="L86" s="6" t="s">
        <v>47</v>
      </c>
      <c r="M86" s="6" t="s">
        <v>48</v>
      </c>
      <c r="N86" s="6" t="s">
        <v>49</v>
      </c>
      <c r="O86" s="8" t="s">
        <v>40</v>
      </c>
      <c r="P86" s="8">
        <v>9701</v>
      </c>
      <c r="Q86" s="8">
        <v>0</v>
      </c>
      <c r="R86" s="8">
        <v>242</v>
      </c>
      <c r="S86" s="8">
        <v>242</v>
      </c>
      <c r="T86" s="8">
        <v>0</v>
      </c>
      <c r="U86" s="8">
        <v>484</v>
      </c>
      <c r="V86" s="8">
        <v>10185</v>
      </c>
      <c r="W86" s="6" t="s">
        <v>40</v>
      </c>
      <c r="X86" s="6" t="s">
        <v>40</v>
      </c>
      <c r="Y86" s="6" t="s">
        <v>49</v>
      </c>
      <c r="Z86" s="6" t="s">
        <v>40</v>
      </c>
      <c r="AA86" s="6" t="s">
        <v>187</v>
      </c>
      <c r="AB86" s="6" t="s">
        <v>53</v>
      </c>
      <c r="AC86" s="6" t="s">
        <v>54</v>
      </c>
      <c r="AD86" s="6" t="s">
        <v>55</v>
      </c>
      <c r="AE86" s="6" t="s">
        <v>56</v>
      </c>
      <c r="AF86" s="6" t="s">
        <v>40</v>
      </c>
      <c r="AG86" s="6" t="s">
        <v>57</v>
      </c>
      <c r="AH86" s="6" t="s">
        <v>40</v>
      </c>
      <c r="AI86" s="6" t="s">
        <v>40</v>
      </c>
      <c r="AJ86" s="6" t="s">
        <v>40</v>
      </c>
    </row>
    <row r="87" spans="1:36" s="6" customFormat="1" x14ac:dyDescent="0.25">
      <c r="A87" s="6" t="s">
        <v>40</v>
      </c>
      <c r="B87" s="6" t="s">
        <v>229</v>
      </c>
      <c r="C87" s="6" t="s">
        <v>40</v>
      </c>
      <c r="D87" s="6" t="s">
        <v>51</v>
      </c>
      <c r="E87" s="7" t="s">
        <v>132</v>
      </c>
      <c r="F87" s="6" t="s">
        <v>40</v>
      </c>
      <c r="G87" s="7" t="s">
        <v>40</v>
      </c>
      <c r="H87" s="6" t="s">
        <v>43</v>
      </c>
      <c r="I87" s="6" t="s">
        <v>190</v>
      </c>
      <c r="J87" s="6" t="s">
        <v>76</v>
      </c>
      <c r="K87" s="6" t="s">
        <v>46</v>
      </c>
      <c r="L87" s="6" t="s">
        <v>77</v>
      </c>
      <c r="M87" s="6" t="s">
        <v>48</v>
      </c>
      <c r="N87" s="6" t="s">
        <v>49</v>
      </c>
      <c r="O87" s="8" t="s">
        <v>40</v>
      </c>
      <c r="P87" s="8">
        <v>2800</v>
      </c>
      <c r="Q87" s="8">
        <v>140</v>
      </c>
      <c r="R87" s="8">
        <v>0</v>
      </c>
      <c r="S87" s="8">
        <v>0</v>
      </c>
      <c r="T87" s="8">
        <v>0</v>
      </c>
      <c r="U87" s="8">
        <v>140</v>
      </c>
      <c r="V87" s="8">
        <v>2940</v>
      </c>
      <c r="W87" s="6" t="s">
        <v>40</v>
      </c>
      <c r="X87" s="6" t="s">
        <v>40</v>
      </c>
      <c r="Y87" s="6" t="s">
        <v>49</v>
      </c>
      <c r="Z87" s="6" t="s">
        <v>40</v>
      </c>
      <c r="AA87" s="6" t="s">
        <v>187</v>
      </c>
      <c r="AB87" s="6" t="s">
        <v>53</v>
      </c>
      <c r="AC87" s="6" t="s">
        <v>54</v>
      </c>
      <c r="AD87" s="6" t="s">
        <v>191</v>
      </c>
      <c r="AE87" s="6" t="s">
        <v>56</v>
      </c>
      <c r="AF87" s="6" t="s">
        <v>40</v>
      </c>
      <c r="AG87" s="6" t="s">
        <v>57</v>
      </c>
      <c r="AH87" s="6" t="s">
        <v>40</v>
      </c>
      <c r="AI87" s="6" t="s">
        <v>40</v>
      </c>
      <c r="AJ87" s="6" t="s">
        <v>40</v>
      </c>
    </row>
    <row r="88" spans="1:36" s="6" customFormat="1" x14ac:dyDescent="0.25">
      <c r="A88" s="6" t="s">
        <v>40</v>
      </c>
      <c r="B88" s="6" t="s">
        <v>230</v>
      </c>
      <c r="C88" s="6" t="s">
        <v>40</v>
      </c>
      <c r="D88" s="6" t="s">
        <v>51</v>
      </c>
      <c r="E88" s="7" t="s">
        <v>132</v>
      </c>
      <c r="F88" s="6" t="s">
        <v>40</v>
      </c>
      <c r="G88" s="7" t="s">
        <v>40</v>
      </c>
      <c r="H88" s="6" t="s">
        <v>43</v>
      </c>
      <c r="I88" s="6" t="s">
        <v>190</v>
      </c>
      <c r="J88" s="6" t="s">
        <v>76</v>
      </c>
      <c r="K88" s="6" t="s">
        <v>46</v>
      </c>
      <c r="L88" s="6" t="s">
        <v>77</v>
      </c>
      <c r="M88" s="6" t="s">
        <v>48</v>
      </c>
      <c r="N88" s="6" t="s">
        <v>49</v>
      </c>
      <c r="O88" s="8" t="s">
        <v>40</v>
      </c>
      <c r="P88" s="8">
        <v>5600</v>
      </c>
      <c r="Q88" s="8">
        <v>280</v>
      </c>
      <c r="R88" s="8">
        <v>0</v>
      </c>
      <c r="S88" s="8">
        <v>0</v>
      </c>
      <c r="T88" s="8">
        <v>0</v>
      </c>
      <c r="U88" s="8">
        <v>280</v>
      </c>
      <c r="V88" s="8">
        <v>5880</v>
      </c>
      <c r="W88" s="6" t="s">
        <v>40</v>
      </c>
      <c r="X88" s="6" t="s">
        <v>40</v>
      </c>
      <c r="Y88" s="6" t="s">
        <v>49</v>
      </c>
      <c r="Z88" s="6" t="s">
        <v>40</v>
      </c>
      <c r="AA88" s="6" t="s">
        <v>187</v>
      </c>
      <c r="AB88" s="6" t="s">
        <v>53</v>
      </c>
      <c r="AC88" s="6" t="s">
        <v>54</v>
      </c>
      <c r="AD88" s="6" t="s">
        <v>191</v>
      </c>
      <c r="AE88" s="6" t="s">
        <v>56</v>
      </c>
      <c r="AF88" s="6" t="s">
        <v>40</v>
      </c>
      <c r="AG88" s="6" t="s">
        <v>57</v>
      </c>
      <c r="AH88" s="6" t="s">
        <v>40</v>
      </c>
      <c r="AI88" s="6" t="s">
        <v>40</v>
      </c>
      <c r="AJ88" s="6" t="s">
        <v>40</v>
      </c>
    </row>
    <row r="89" spans="1:36" s="6" customFormat="1" x14ac:dyDescent="0.25">
      <c r="A89" s="6" t="s">
        <v>40</v>
      </c>
      <c r="B89" s="6" t="s">
        <v>231</v>
      </c>
      <c r="C89" s="6" t="s">
        <v>40</v>
      </c>
      <c r="D89" s="6" t="s">
        <v>51</v>
      </c>
      <c r="E89" s="7" t="s">
        <v>132</v>
      </c>
      <c r="F89" s="6" t="s">
        <v>40</v>
      </c>
      <c r="G89" s="7" t="s">
        <v>40</v>
      </c>
      <c r="H89" s="6" t="s">
        <v>43</v>
      </c>
      <c r="I89" s="6" t="s">
        <v>190</v>
      </c>
      <c r="J89" s="6" t="s">
        <v>76</v>
      </c>
      <c r="K89" s="6" t="s">
        <v>46</v>
      </c>
      <c r="L89" s="6" t="s">
        <v>77</v>
      </c>
      <c r="M89" s="6" t="s">
        <v>48</v>
      </c>
      <c r="N89" s="6" t="s">
        <v>49</v>
      </c>
      <c r="O89" s="8" t="s">
        <v>40</v>
      </c>
      <c r="P89" s="8">
        <v>6300</v>
      </c>
      <c r="Q89" s="8">
        <v>315</v>
      </c>
      <c r="R89" s="8">
        <v>0</v>
      </c>
      <c r="S89" s="8">
        <v>0</v>
      </c>
      <c r="T89" s="8">
        <v>0</v>
      </c>
      <c r="U89" s="8">
        <v>315</v>
      </c>
      <c r="V89" s="8">
        <v>6615</v>
      </c>
      <c r="W89" s="6" t="s">
        <v>40</v>
      </c>
      <c r="X89" s="6" t="s">
        <v>40</v>
      </c>
      <c r="Y89" s="6" t="s">
        <v>49</v>
      </c>
      <c r="Z89" s="6" t="s">
        <v>40</v>
      </c>
      <c r="AA89" s="6" t="s">
        <v>187</v>
      </c>
      <c r="AB89" s="6" t="s">
        <v>53</v>
      </c>
      <c r="AC89" s="6" t="s">
        <v>54</v>
      </c>
      <c r="AD89" s="6" t="s">
        <v>191</v>
      </c>
      <c r="AE89" s="6" t="s">
        <v>56</v>
      </c>
      <c r="AF89" s="6" t="s">
        <v>40</v>
      </c>
      <c r="AG89" s="6" t="s">
        <v>57</v>
      </c>
      <c r="AH89" s="6" t="s">
        <v>40</v>
      </c>
      <c r="AI89" s="6" t="s">
        <v>40</v>
      </c>
      <c r="AJ89" s="6" t="s">
        <v>40</v>
      </c>
    </row>
    <row r="90" spans="1:36" s="6" customFormat="1" x14ac:dyDescent="0.25">
      <c r="A90" s="6" t="s">
        <v>40</v>
      </c>
      <c r="B90" s="6" t="s">
        <v>232</v>
      </c>
      <c r="C90" s="6" t="s">
        <v>40</v>
      </c>
      <c r="D90" s="6" t="s">
        <v>51</v>
      </c>
      <c r="E90" s="7" t="s">
        <v>91</v>
      </c>
      <c r="F90" s="6" t="s">
        <v>40</v>
      </c>
      <c r="G90" s="7" t="s">
        <v>40</v>
      </c>
      <c r="H90" s="6" t="s">
        <v>43</v>
      </c>
      <c r="I90" s="6" t="s">
        <v>185</v>
      </c>
      <c r="J90" s="6" t="s">
        <v>186</v>
      </c>
      <c r="K90" s="6" t="s">
        <v>46</v>
      </c>
      <c r="L90" s="6" t="s">
        <v>47</v>
      </c>
      <c r="M90" s="6" t="s">
        <v>48</v>
      </c>
      <c r="N90" s="6" t="s">
        <v>49</v>
      </c>
      <c r="O90" s="8" t="s">
        <v>40</v>
      </c>
      <c r="P90" s="8">
        <v>37142.9</v>
      </c>
      <c r="Q90" s="8">
        <v>0</v>
      </c>
      <c r="R90" s="8">
        <v>928.57</v>
      </c>
      <c r="S90" s="8">
        <v>928.57</v>
      </c>
      <c r="T90" s="8">
        <v>0</v>
      </c>
      <c r="U90" s="8">
        <v>1857.14</v>
      </c>
      <c r="V90" s="8">
        <v>39000</v>
      </c>
      <c r="W90" s="6" t="s">
        <v>40</v>
      </c>
      <c r="X90" s="6" t="s">
        <v>40</v>
      </c>
      <c r="Y90" s="6" t="s">
        <v>49</v>
      </c>
      <c r="Z90" s="6" t="s">
        <v>40</v>
      </c>
      <c r="AA90" s="6" t="s">
        <v>187</v>
      </c>
      <c r="AB90" s="6" t="s">
        <v>53</v>
      </c>
      <c r="AC90" s="6" t="s">
        <v>54</v>
      </c>
      <c r="AD90" s="6" t="s">
        <v>202</v>
      </c>
      <c r="AE90" s="6" t="s">
        <v>56</v>
      </c>
      <c r="AF90" s="6" t="s">
        <v>40</v>
      </c>
      <c r="AG90" s="6" t="s">
        <v>57</v>
      </c>
      <c r="AH90" s="6" t="s">
        <v>40</v>
      </c>
      <c r="AI90" s="6" t="s">
        <v>40</v>
      </c>
      <c r="AJ90" s="6" t="s">
        <v>40</v>
      </c>
    </row>
    <row r="91" spans="1:36" s="6" customFormat="1" x14ac:dyDescent="0.25">
      <c r="A91" s="6" t="s">
        <v>40</v>
      </c>
      <c r="B91" s="6" t="s">
        <v>233</v>
      </c>
      <c r="C91" s="6" t="s">
        <v>40</v>
      </c>
      <c r="D91" s="6" t="s">
        <v>51</v>
      </c>
      <c r="E91" s="7" t="s">
        <v>91</v>
      </c>
      <c r="F91" s="6" t="s">
        <v>40</v>
      </c>
      <c r="G91" s="7" t="s">
        <v>40</v>
      </c>
      <c r="H91" s="6" t="s">
        <v>43</v>
      </c>
      <c r="I91" s="6" t="s">
        <v>190</v>
      </c>
      <c r="J91" s="6" t="s">
        <v>76</v>
      </c>
      <c r="K91" s="6" t="s">
        <v>46</v>
      </c>
      <c r="L91" s="6" t="s">
        <v>77</v>
      </c>
      <c r="M91" s="6" t="s">
        <v>48</v>
      </c>
      <c r="N91" s="6" t="s">
        <v>49</v>
      </c>
      <c r="O91" s="8" t="s">
        <v>40</v>
      </c>
      <c r="P91" s="8">
        <v>5000</v>
      </c>
      <c r="Q91" s="8">
        <v>250</v>
      </c>
      <c r="R91" s="8">
        <v>0</v>
      </c>
      <c r="S91" s="8">
        <v>0</v>
      </c>
      <c r="T91" s="8">
        <v>0</v>
      </c>
      <c r="U91" s="8">
        <v>250</v>
      </c>
      <c r="V91" s="8">
        <v>5250</v>
      </c>
      <c r="W91" s="6" t="s">
        <v>40</v>
      </c>
      <c r="X91" s="6" t="s">
        <v>40</v>
      </c>
      <c r="Y91" s="6" t="s">
        <v>49</v>
      </c>
      <c r="Z91" s="6" t="s">
        <v>40</v>
      </c>
      <c r="AA91" s="6" t="s">
        <v>187</v>
      </c>
      <c r="AB91" s="6" t="s">
        <v>53</v>
      </c>
      <c r="AC91" s="6" t="s">
        <v>54</v>
      </c>
      <c r="AD91" s="6" t="s">
        <v>191</v>
      </c>
      <c r="AE91" s="6" t="s">
        <v>56</v>
      </c>
      <c r="AF91" s="6" t="s">
        <v>40</v>
      </c>
      <c r="AG91" s="6" t="s">
        <v>57</v>
      </c>
      <c r="AH91" s="6" t="s">
        <v>40</v>
      </c>
      <c r="AI91" s="6" t="s">
        <v>40</v>
      </c>
      <c r="AJ91" s="6" t="s">
        <v>40</v>
      </c>
    </row>
    <row r="92" spans="1:36" s="6" customFormat="1" x14ac:dyDescent="0.25">
      <c r="A92" s="6" t="s">
        <v>40</v>
      </c>
      <c r="B92" s="6" t="s">
        <v>234</v>
      </c>
      <c r="C92" s="6" t="s">
        <v>40</v>
      </c>
      <c r="D92" s="6" t="s">
        <v>51</v>
      </c>
      <c r="E92" s="7" t="s">
        <v>91</v>
      </c>
      <c r="F92" s="6" t="s">
        <v>40</v>
      </c>
      <c r="G92" s="7" t="s">
        <v>40</v>
      </c>
      <c r="H92" s="6" t="s">
        <v>43</v>
      </c>
      <c r="I92" s="6" t="s">
        <v>190</v>
      </c>
      <c r="J92" s="6" t="s">
        <v>76</v>
      </c>
      <c r="K92" s="6" t="s">
        <v>46</v>
      </c>
      <c r="L92" s="6" t="s">
        <v>77</v>
      </c>
      <c r="M92" s="6" t="s">
        <v>48</v>
      </c>
      <c r="N92" s="6" t="s">
        <v>49</v>
      </c>
      <c r="O92" s="8" t="s">
        <v>40</v>
      </c>
      <c r="P92" s="8">
        <v>2500</v>
      </c>
      <c r="Q92" s="8">
        <v>125</v>
      </c>
      <c r="R92" s="8">
        <v>0</v>
      </c>
      <c r="S92" s="8">
        <v>0</v>
      </c>
      <c r="T92" s="8">
        <v>0</v>
      </c>
      <c r="U92" s="8">
        <v>125</v>
      </c>
      <c r="V92" s="8">
        <v>2625</v>
      </c>
      <c r="W92" s="6" t="s">
        <v>40</v>
      </c>
      <c r="X92" s="6" t="s">
        <v>40</v>
      </c>
      <c r="Y92" s="6" t="s">
        <v>49</v>
      </c>
      <c r="Z92" s="6" t="s">
        <v>40</v>
      </c>
      <c r="AA92" s="6" t="s">
        <v>187</v>
      </c>
      <c r="AB92" s="6" t="s">
        <v>53</v>
      </c>
      <c r="AC92" s="6" t="s">
        <v>54</v>
      </c>
      <c r="AD92" s="6" t="s">
        <v>191</v>
      </c>
      <c r="AE92" s="6" t="s">
        <v>56</v>
      </c>
      <c r="AF92" s="6" t="s">
        <v>40</v>
      </c>
      <c r="AG92" s="6" t="s">
        <v>57</v>
      </c>
      <c r="AH92" s="6" t="s">
        <v>40</v>
      </c>
      <c r="AI92" s="6" t="s">
        <v>40</v>
      </c>
      <c r="AJ92" s="6" t="s">
        <v>40</v>
      </c>
    </row>
    <row r="93" spans="1:36" s="6" customFormat="1" x14ac:dyDescent="0.25">
      <c r="A93" s="6" t="s">
        <v>40</v>
      </c>
      <c r="B93" s="6" t="s">
        <v>235</v>
      </c>
      <c r="C93" s="6" t="s">
        <v>40</v>
      </c>
      <c r="D93" s="6" t="s">
        <v>51</v>
      </c>
      <c r="E93" s="7" t="s">
        <v>236</v>
      </c>
      <c r="F93" s="6" t="s">
        <v>40</v>
      </c>
      <c r="G93" s="7" t="s">
        <v>40</v>
      </c>
      <c r="H93" s="6" t="s">
        <v>43</v>
      </c>
      <c r="I93" s="6" t="s">
        <v>190</v>
      </c>
      <c r="J93" s="6" t="s">
        <v>76</v>
      </c>
      <c r="K93" s="6" t="s">
        <v>46</v>
      </c>
      <c r="L93" s="6" t="s">
        <v>77</v>
      </c>
      <c r="M93" s="6" t="s">
        <v>48</v>
      </c>
      <c r="N93" s="6" t="s">
        <v>49</v>
      </c>
      <c r="O93" s="8" t="s">
        <v>40</v>
      </c>
      <c r="P93" s="8">
        <v>3800</v>
      </c>
      <c r="Q93" s="8">
        <v>190</v>
      </c>
      <c r="R93" s="8">
        <v>0</v>
      </c>
      <c r="S93" s="8">
        <v>0</v>
      </c>
      <c r="T93" s="8">
        <v>0</v>
      </c>
      <c r="U93" s="8">
        <v>190</v>
      </c>
      <c r="V93" s="8">
        <v>3990</v>
      </c>
      <c r="W93" s="6" t="s">
        <v>40</v>
      </c>
      <c r="X93" s="6" t="s">
        <v>40</v>
      </c>
      <c r="Y93" s="6" t="s">
        <v>49</v>
      </c>
      <c r="Z93" s="6" t="s">
        <v>40</v>
      </c>
      <c r="AA93" s="6" t="s">
        <v>187</v>
      </c>
      <c r="AB93" s="6" t="s">
        <v>53</v>
      </c>
      <c r="AC93" s="6" t="s">
        <v>54</v>
      </c>
      <c r="AD93" s="6" t="s">
        <v>191</v>
      </c>
      <c r="AE93" s="6" t="s">
        <v>56</v>
      </c>
      <c r="AF93" s="6" t="s">
        <v>40</v>
      </c>
      <c r="AG93" s="6" t="s">
        <v>57</v>
      </c>
      <c r="AH93" s="6" t="s">
        <v>40</v>
      </c>
      <c r="AI93" s="6" t="s">
        <v>40</v>
      </c>
      <c r="AJ93" s="6" t="s">
        <v>40</v>
      </c>
    </row>
    <row r="94" spans="1:36" s="6" customFormat="1" x14ac:dyDescent="0.25">
      <c r="A94" s="6" t="s">
        <v>40</v>
      </c>
      <c r="B94" s="6" t="s">
        <v>237</v>
      </c>
      <c r="C94" s="6" t="s">
        <v>40</v>
      </c>
      <c r="D94" s="6" t="s">
        <v>51</v>
      </c>
      <c r="E94" s="7" t="s">
        <v>238</v>
      </c>
      <c r="F94" s="6" t="s">
        <v>40</v>
      </c>
      <c r="G94" s="7" t="s">
        <v>40</v>
      </c>
      <c r="H94" s="6" t="s">
        <v>43</v>
      </c>
      <c r="I94" s="6" t="s">
        <v>239</v>
      </c>
      <c r="J94" s="6" t="s">
        <v>240</v>
      </c>
      <c r="K94" s="6" t="s">
        <v>46</v>
      </c>
      <c r="L94" s="6" t="s">
        <v>47</v>
      </c>
      <c r="M94" s="6" t="s">
        <v>48</v>
      </c>
      <c r="N94" s="6" t="s">
        <v>49</v>
      </c>
      <c r="O94" s="8" t="s">
        <v>40</v>
      </c>
      <c r="P94" s="8">
        <v>6</v>
      </c>
      <c r="Q94" s="8">
        <v>0</v>
      </c>
      <c r="R94" s="8">
        <v>0.54</v>
      </c>
      <c r="S94" s="8">
        <v>0.54</v>
      </c>
      <c r="T94" s="8">
        <v>0</v>
      </c>
      <c r="U94" s="8">
        <v>1.08</v>
      </c>
      <c r="V94" s="8">
        <v>7.08</v>
      </c>
      <c r="W94" s="6" t="s">
        <v>40</v>
      </c>
      <c r="X94" s="6" t="s">
        <v>40</v>
      </c>
      <c r="Y94" s="6" t="s">
        <v>49</v>
      </c>
      <c r="Z94" s="6" t="s">
        <v>40</v>
      </c>
      <c r="AA94" s="6" t="s">
        <v>187</v>
      </c>
      <c r="AB94" s="6" t="s">
        <v>53</v>
      </c>
      <c r="AC94" s="6" t="s">
        <v>54</v>
      </c>
      <c r="AD94" s="6" t="s">
        <v>55</v>
      </c>
      <c r="AE94" s="6" t="s">
        <v>56</v>
      </c>
      <c r="AF94" s="6" t="s">
        <v>40</v>
      </c>
      <c r="AG94" s="6" t="s">
        <v>57</v>
      </c>
      <c r="AH94" s="6" t="s">
        <v>40</v>
      </c>
      <c r="AI94" s="6" t="s">
        <v>40</v>
      </c>
      <c r="AJ94" s="6" t="s">
        <v>40</v>
      </c>
    </row>
    <row r="95" spans="1:36" s="6" customFormat="1" x14ac:dyDescent="0.25">
      <c r="A95" s="6" t="s">
        <v>40</v>
      </c>
      <c r="B95" s="6" t="s">
        <v>241</v>
      </c>
      <c r="C95" s="6" t="s">
        <v>40</v>
      </c>
      <c r="D95" s="6" t="s">
        <v>51</v>
      </c>
      <c r="E95" s="7" t="s">
        <v>238</v>
      </c>
      <c r="F95" s="6" t="s">
        <v>40</v>
      </c>
      <c r="G95" s="7" t="s">
        <v>40</v>
      </c>
      <c r="H95" s="6" t="s">
        <v>43</v>
      </c>
      <c r="I95" s="6" t="s">
        <v>190</v>
      </c>
      <c r="J95" s="6" t="s">
        <v>76</v>
      </c>
      <c r="K95" s="6" t="s">
        <v>46</v>
      </c>
      <c r="L95" s="6" t="s">
        <v>77</v>
      </c>
      <c r="M95" s="6" t="s">
        <v>48</v>
      </c>
      <c r="N95" s="6" t="s">
        <v>49</v>
      </c>
      <c r="O95" s="8" t="s">
        <v>40</v>
      </c>
      <c r="P95" s="8">
        <v>2500</v>
      </c>
      <c r="Q95" s="8">
        <v>125</v>
      </c>
      <c r="R95" s="8">
        <v>0</v>
      </c>
      <c r="S95" s="8">
        <v>0</v>
      </c>
      <c r="T95" s="8">
        <v>0</v>
      </c>
      <c r="U95" s="8">
        <v>125</v>
      </c>
      <c r="V95" s="8">
        <v>2625</v>
      </c>
      <c r="W95" s="6" t="s">
        <v>40</v>
      </c>
      <c r="X95" s="6" t="s">
        <v>40</v>
      </c>
      <c r="Y95" s="6" t="s">
        <v>49</v>
      </c>
      <c r="Z95" s="6" t="s">
        <v>40</v>
      </c>
      <c r="AA95" s="6" t="s">
        <v>187</v>
      </c>
      <c r="AB95" s="6" t="s">
        <v>53</v>
      </c>
      <c r="AC95" s="6" t="s">
        <v>54</v>
      </c>
      <c r="AD95" s="6" t="s">
        <v>191</v>
      </c>
      <c r="AE95" s="6" t="s">
        <v>56</v>
      </c>
      <c r="AF95" s="6" t="s">
        <v>40</v>
      </c>
      <c r="AG95" s="6" t="s">
        <v>57</v>
      </c>
      <c r="AH95" s="6" t="s">
        <v>40</v>
      </c>
      <c r="AI95" s="6" t="s">
        <v>40</v>
      </c>
      <c r="AJ95" s="6" t="s">
        <v>40</v>
      </c>
    </row>
    <row r="96" spans="1:36" s="6" customFormat="1" x14ac:dyDescent="0.25">
      <c r="A96" s="6" t="s">
        <v>40</v>
      </c>
      <c r="B96" s="6" t="s">
        <v>242</v>
      </c>
      <c r="C96" s="6" t="s">
        <v>40</v>
      </c>
      <c r="D96" s="6" t="s">
        <v>51</v>
      </c>
      <c r="E96" s="7" t="s">
        <v>147</v>
      </c>
      <c r="F96" s="6" t="s">
        <v>40</v>
      </c>
      <c r="G96" s="7" t="s">
        <v>40</v>
      </c>
      <c r="H96" s="6" t="s">
        <v>43</v>
      </c>
      <c r="I96" s="6" t="s">
        <v>190</v>
      </c>
      <c r="J96" s="6" t="s">
        <v>76</v>
      </c>
      <c r="K96" s="6" t="s">
        <v>46</v>
      </c>
      <c r="L96" s="6" t="s">
        <v>77</v>
      </c>
      <c r="M96" s="6" t="s">
        <v>48</v>
      </c>
      <c r="N96" s="6" t="s">
        <v>49</v>
      </c>
      <c r="O96" s="8" t="s">
        <v>40</v>
      </c>
      <c r="P96" s="8">
        <v>3800</v>
      </c>
      <c r="Q96" s="8">
        <v>190</v>
      </c>
      <c r="R96" s="8">
        <v>0</v>
      </c>
      <c r="S96" s="8">
        <v>0</v>
      </c>
      <c r="T96" s="8">
        <v>0</v>
      </c>
      <c r="U96" s="8">
        <v>190</v>
      </c>
      <c r="V96" s="8">
        <v>3990</v>
      </c>
      <c r="W96" s="6" t="s">
        <v>40</v>
      </c>
      <c r="X96" s="6" t="s">
        <v>40</v>
      </c>
      <c r="Y96" s="6" t="s">
        <v>49</v>
      </c>
      <c r="Z96" s="6" t="s">
        <v>40</v>
      </c>
      <c r="AA96" s="6" t="s">
        <v>187</v>
      </c>
      <c r="AB96" s="6" t="s">
        <v>53</v>
      </c>
      <c r="AC96" s="6" t="s">
        <v>54</v>
      </c>
      <c r="AD96" s="6" t="s">
        <v>191</v>
      </c>
      <c r="AE96" s="6" t="s">
        <v>56</v>
      </c>
      <c r="AF96" s="6" t="s">
        <v>40</v>
      </c>
      <c r="AG96" s="6" t="s">
        <v>57</v>
      </c>
      <c r="AH96" s="6" t="s">
        <v>40</v>
      </c>
      <c r="AI96" s="6" t="s">
        <v>40</v>
      </c>
      <c r="AJ96" s="6" t="s">
        <v>40</v>
      </c>
    </row>
    <row r="97" spans="1:36" s="6" customFormat="1" x14ac:dyDescent="0.25">
      <c r="A97" s="6" t="s">
        <v>40</v>
      </c>
      <c r="B97" s="6" t="s">
        <v>243</v>
      </c>
      <c r="C97" s="6" t="s">
        <v>40</v>
      </c>
      <c r="D97" s="6" t="s">
        <v>51</v>
      </c>
      <c r="E97" s="7" t="s">
        <v>147</v>
      </c>
      <c r="F97" s="6" t="s">
        <v>40</v>
      </c>
      <c r="G97" s="7" t="s">
        <v>40</v>
      </c>
      <c r="H97" s="6" t="s">
        <v>43</v>
      </c>
      <c r="I97" s="6" t="s">
        <v>190</v>
      </c>
      <c r="J97" s="6" t="s">
        <v>76</v>
      </c>
      <c r="K97" s="6" t="s">
        <v>46</v>
      </c>
      <c r="L97" s="6" t="s">
        <v>77</v>
      </c>
      <c r="M97" s="6" t="s">
        <v>48</v>
      </c>
      <c r="N97" s="6" t="s">
        <v>49</v>
      </c>
      <c r="O97" s="8" t="s">
        <v>40</v>
      </c>
      <c r="P97" s="8">
        <v>3500</v>
      </c>
      <c r="Q97" s="8">
        <v>175</v>
      </c>
      <c r="R97" s="8">
        <v>0</v>
      </c>
      <c r="S97" s="8">
        <v>0</v>
      </c>
      <c r="T97" s="8">
        <v>0</v>
      </c>
      <c r="U97" s="8">
        <v>175</v>
      </c>
      <c r="V97" s="8">
        <v>3675</v>
      </c>
      <c r="W97" s="6" t="s">
        <v>40</v>
      </c>
      <c r="X97" s="6" t="s">
        <v>40</v>
      </c>
      <c r="Y97" s="6" t="s">
        <v>49</v>
      </c>
      <c r="Z97" s="6" t="s">
        <v>40</v>
      </c>
      <c r="AA97" s="6" t="s">
        <v>187</v>
      </c>
      <c r="AB97" s="6" t="s">
        <v>53</v>
      </c>
      <c r="AC97" s="6" t="s">
        <v>54</v>
      </c>
      <c r="AD97" s="6" t="s">
        <v>191</v>
      </c>
      <c r="AE97" s="6" t="s">
        <v>56</v>
      </c>
      <c r="AF97" s="6" t="s">
        <v>40</v>
      </c>
      <c r="AG97" s="6" t="s">
        <v>57</v>
      </c>
      <c r="AH97" s="6" t="s">
        <v>40</v>
      </c>
      <c r="AI97" s="6" t="s">
        <v>40</v>
      </c>
      <c r="AJ97" s="6" t="s">
        <v>40</v>
      </c>
    </row>
    <row r="98" spans="1:36" s="6" customFormat="1" x14ac:dyDescent="0.25">
      <c r="A98" s="6" t="s">
        <v>40</v>
      </c>
      <c r="B98" s="6" t="s">
        <v>244</v>
      </c>
      <c r="C98" s="6" t="s">
        <v>40</v>
      </c>
      <c r="D98" s="6" t="s">
        <v>51</v>
      </c>
      <c r="E98" s="7" t="s">
        <v>147</v>
      </c>
      <c r="F98" s="6" t="s">
        <v>40</v>
      </c>
      <c r="G98" s="7" t="s">
        <v>40</v>
      </c>
      <c r="H98" s="6" t="s">
        <v>43</v>
      </c>
      <c r="I98" s="6" t="s">
        <v>190</v>
      </c>
      <c r="J98" s="6" t="s">
        <v>76</v>
      </c>
      <c r="K98" s="6" t="s">
        <v>46</v>
      </c>
      <c r="L98" s="6" t="s">
        <v>77</v>
      </c>
      <c r="M98" s="6" t="s">
        <v>48</v>
      </c>
      <c r="N98" s="6" t="s">
        <v>49</v>
      </c>
      <c r="O98" s="8" t="s">
        <v>40</v>
      </c>
      <c r="P98" s="8">
        <v>3800</v>
      </c>
      <c r="Q98" s="8">
        <v>190</v>
      </c>
      <c r="R98" s="8">
        <v>0</v>
      </c>
      <c r="S98" s="8">
        <v>0</v>
      </c>
      <c r="T98" s="8">
        <v>0</v>
      </c>
      <c r="U98" s="8">
        <v>190</v>
      </c>
      <c r="V98" s="8">
        <v>3990</v>
      </c>
      <c r="W98" s="6" t="s">
        <v>40</v>
      </c>
      <c r="X98" s="6" t="s">
        <v>40</v>
      </c>
      <c r="Y98" s="6" t="s">
        <v>49</v>
      </c>
      <c r="Z98" s="6" t="s">
        <v>40</v>
      </c>
      <c r="AA98" s="6" t="s">
        <v>187</v>
      </c>
      <c r="AB98" s="6" t="s">
        <v>53</v>
      </c>
      <c r="AC98" s="6" t="s">
        <v>54</v>
      </c>
      <c r="AD98" s="6" t="s">
        <v>191</v>
      </c>
      <c r="AE98" s="6" t="s">
        <v>56</v>
      </c>
      <c r="AF98" s="6" t="s">
        <v>40</v>
      </c>
      <c r="AG98" s="6" t="s">
        <v>57</v>
      </c>
      <c r="AH98" s="6" t="s">
        <v>40</v>
      </c>
      <c r="AI98" s="6" t="s">
        <v>40</v>
      </c>
      <c r="AJ98" s="6" t="s">
        <v>40</v>
      </c>
    </row>
    <row r="99" spans="1:36" s="6" customFormat="1" x14ac:dyDescent="0.25">
      <c r="A99" s="6" t="s">
        <v>40</v>
      </c>
      <c r="B99" s="6" t="s">
        <v>245</v>
      </c>
      <c r="C99" s="6" t="s">
        <v>40</v>
      </c>
      <c r="D99" s="6" t="s">
        <v>51</v>
      </c>
      <c r="E99" s="7" t="s">
        <v>147</v>
      </c>
      <c r="F99" s="6" t="s">
        <v>40</v>
      </c>
      <c r="G99" s="7" t="s">
        <v>40</v>
      </c>
      <c r="H99" s="6" t="s">
        <v>43</v>
      </c>
      <c r="I99" s="6" t="s">
        <v>190</v>
      </c>
      <c r="J99" s="6" t="s">
        <v>76</v>
      </c>
      <c r="K99" s="6" t="s">
        <v>46</v>
      </c>
      <c r="L99" s="6" t="s">
        <v>77</v>
      </c>
      <c r="M99" s="6" t="s">
        <v>48</v>
      </c>
      <c r="N99" s="6" t="s">
        <v>49</v>
      </c>
      <c r="O99" s="8" t="s">
        <v>40</v>
      </c>
      <c r="P99" s="8">
        <v>2500</v>
      </c>
      <c r="Q99" s="8">
        <v>125</v>
      </c>
      <c r="R99" s="8">
        <v>0</v>
      </c>
      <c r="S99" s="8">
        <v>0</v>
      </c>
      <c r="T99" s="8">
        <v>0</v>
      </c>
      <c r="U99" s="8">
        <v>125</v>
      </c>
      <c r="V99" s="8">
        <v>2625</v>
      </c>
      <c r="W99" s="6" t="s">
        <v>40</v>
      </c>
      <c r="X99" s="6" t="s">
        <v>40</v>
      </c>
      <c r="Y99" s="6" t="s">
        <v>49</v>
      </c>
      <c r="Z99" s="6" t="s">
        <v>40</v>
      </c>
      <c r="AA99" s="6" t="s">
        <v>187</v>
      </c>
      <c r="AB99" s="6" t="s">
        <v>53</v>
      </c>
      <c r="AC99" s="6" t="s">
        <v>54</v>
      </c>
      <c r="AD99" s="6" t="s">
        <v>191</v>
      </c>
      <c r="AE99" s="6" t="s">
        <v>56</v>
      </c>
      <c r="AF99" s="6" t="s">
        <v>40</v>
      </c>
      <c r="AG99" s="6" t="s">
        <v>57</v>
      </c>
      <c r="AH99" s="6" t="s">
        <v>40</v>
      </c>
      <c r="AI99" s="6" t="s">
        <v>40</v>
      </c>
      <c r="AJ99" s="6" t="s">
        <v>40</v>
      </c>
    </row>
    <row r="100" spans="1:36" s="6" customFormat="1" x14ac:dyDescent="0.25">
      <c r="A100" s="6" t="s">
        <v>40</v>
      </c>
      <c r="B100" s="6" t="s">
        <v>246</v>
      </c>
      <c r="C100" s="6" t="s">
        <v>40</v>
      </c>
      <c r="D100" s="6" t="s">
        <v>51</v>
      </c>
      <c r="E100" s="7" t="s">
        <v>147</v>
      </c>
      <c r="F100" s="6" t="s">
        <v>40</v>
      </c>
      <c r="G100" s="7" t="s">
        <v>40</v>
      </c>
      <c r="H100" s="6" t="s">
        <v>43</v>
      </c>
      <c r="I100" s="6" t="s">
        <v>190</v>
      </c>
      <c r="J100" s="6" t="s">
        <v>76</v>
      </c>
      <c r="K100" s="6" t="s">
        <v>46</v>
      </c>
      <c r="L100" s="6" t="s">
        <v>77</v>
      </c>
      <c r="M100" s="6" t="s">
        <v>48</v>
      </c>
      <c r="N100" s="6" t="s">
        <v>49</v>
      </c>
      <c r="O100" s="8" t="s">
        <v>40</v>
      </c>
      <c r="P100" s="8">
        <v>43500</v>
      </c>
      <c r="Q100" s="8">
        <v>2175</v>
      </c>
      <c r="R100" s="8">
        <v>0</v>
      </c>
      <c r="S100" s="8">
        <v>0</v>
      </c>
      <c r="T100" s="8">
        <v>0</v>
      </c>
      <c r="U100" s="8">
        <v>2175</v>
      </c>
      <c r="V100" s="8">
        <v>45675</v>
      </c>
      <c r="W100" s="6" t="s">
        <v>40</v>
      </c>
      <c r="X100" s="6" t="s">
        <v>40</v>
      </c>
      <c r="Y100" s="6" t="s">
        <v>49</v>
      </c>
      <c r="Z100" s="6" t="s">
        <v>40</v>
      </c>
      <c r="AA100" s="6" t="s">
        <v>187</v>
      </c>
      <c r="AB100" s="6" t="s">
        <v>53</v>
      </c>
      <c r="AC100" s="6" t="s">
        <v>54</v>
      </c>
      <c r="AD100" s="6" t="s">
        <v>191</v>
      </c>
      <c r="AE100" s="6" t="s">
        <v>56</v>
      </c>
      <c r="AF100" s="6" t="s">
        <v>40</v>
      </c>
      <c r="AG100" s="6" t="s">
        <v>57</v>
      </c>
      <c r="AH100" s="6" t="s">
        <v>40</v>
      </c>
      <c r="AI100" s="6" t="s">
        <v>40</v>
      </c>
      <c r="AJ100" s="6" t="s">
        <v>40</v>
      </c>
    </row>
    <row r="101" spans="1:36" s="6" customFormat="1" x14ac:dyDescent="0.25">
      <c r="A101" s="6" t="s">
        <v>40</v>
      </c>
      <c r="B101" s="6" t="s">
        <v>247</v>
      </c>
      <c r="C101" s="6" t="s">
        <v>40</v>
      </c>
      <c r="D101" s="6" t="s">
        <v>51</v>
      </c>
      <c r="E101" s="7" t="s">
        <v>159</v>
      </c>
      <c r="F101" s="6" t="s">
        <v>40</v>
      </c>
      <c r="G101" s="7" t="s">
        <v>40</v>
      </c>
      <c r="H101" s="6" t="s">
        <v>43</v>
      </c>
      <c r="I101" s="6" t="s">
        <v>190</v>
      </c>
      <c r="J101" s="6" t="s">
        <v>76</v>
      </c>
      <c r="K101" s="6" t="s">
        <v>46</v>
      </c>
      <c r="L101" s="6" t="s">
        <v>77</v>
      </c>
      <c r="M101" s="6" t="s">
        <v>48</v>
      </c>
      <c r="N101" s="6" t="s">
        <v>49</v>
      </c>
      <c r="O101" s="8" t="s">
        <v>40</v>
      </c>
      <c r="P101" s="8">
        <v>3500</v>
      </c>
      <c r="Q101" s="8">
        <v>175</v>
      </c>
      <c r="R101" s="8">
        <v>0</v>
      </c>
      <c r="S101" s="8">
        <v>0</v>
      </c>
      <c r="T101" s="8">
        <v>0</v>
      </c>
      <c r="U101" s="8">
        <v>175</v>
      </c>
      <c r="V101" s="8">
        <v>3675</v>
      </c>
      <c r="W101" s="6" t="s">
        <v>40</v>
      </c>
      <c r="X101" s="6" t="s">
        <v>40</v>
      </c>
      <c r="Y101" s="6" t="s">
        <v>49</v>
      </c>
      <c r="Z101" s="6" t="s">
        <v>40</v>
      </c>
      <c r="AA101" s="6" t="s">
        <v>187</v>
      </c>
      <c r="AB101" s="6" t="s">
        <v>53</v>
      </c>
      <c r="AC101" s="6" t="s">
        <v>54</v>
      </c>
      <c r="AD101" s="6" t="s">
        <v>191</v>
      </c>
      <c r="AE101" s="6" t="s">
        <v>56</v>
      </c>
      <c r="AF101" s="6" t="s">
        <v>40</v>
      </c>
      <c r="AG101" s="6" t="s">
        <v>57</v>
      </c>
      <c r="AH101" s="6" t="s">
        <v>40</v>
      </c>
      <c r="AI101" s="6" t="s">
        <v>40</v>
      </c>
      <c r="AJ101" s="6" t="s">
        <v>40</v>
      </c>
    </row>
    <row r="102" spans="1:36" s="6" customFormat="1" x14ac:dyDescent="0.25">
      <c r="A102" s="6" t="s">
        <v>40</v>
      </c>
      <c r="B102" s="6" t="s">
        <v>248</v>
      </c>
      <c r="C102" s="6" t="s">
        <v>40</v>
      </c>
      <c r="D102" s="6" t="s">
        <v>51</v>
      </c>
      <c r="E102" s="7" t="s">
        <v>159</v>
      </c>
      <c r="F102" s="6" t="s">
        <v>40</v>
      </c>
      <c r="G102" s="7" t="s">
        <v>40</v>
      </c>
      <c r="H102" s="6" t="s">
        <v>43</v>
      </c>
      <c r="I102" s="6" t="s">
        <v>190</v>
      </c>
      <c r="J102" s="6" t="s">
        <v>76</v>
      </c>
      <c r="K102" s="6" t="s">
        <v>46</v>
      </c>
      <c r="L102" s="6" t="s">
        <v>77</v>
      </c>
      <c r="M102" s="6" t="s">
        <v>48</v>
      </c>
      <c r="N102" s="6" t="s">
        <v>49</v>
      </c>
      <c r="O102" s="8" t="s">
        <v>40</v>
      </c>
      <c r="P102" s="8">
        <v>2000</v>
      </c>
      <c r="Q102" s="8">
        <v>100</v>
      </c>
      <c r="R102" s="8">
        <v>0</v>
      </c>
      <c r="S102" s="8">
        <v>0</v>
      </c>
      <c r="T102" s="8">
        <v>0</v>
      </c>
      <c r="U102" s="8">
        <v>100</v>
      </c>
      <c r="V102" s="8">
        <v>2100</v>
      </c>
      <c r="W102" s="6" t="s">
        <v>40</v>
      </c>
      <c r="X102" s="6" t="s">
        <v>40</v>
      </c>
      <c r="Y102" s="6" t="s">
        <v>49</v>
      </c>
      <c r="Z102" s="6" t="s">
        <v>40</v>
      </c>
      <c r="AA102" s="6" t="s">
        <v>187</v>
      </c>
      <c r="AB102" s="6" t="s">
        <v>53</v>
      </c>
      <c r="AC102" s="6" t="s">
        <v>54</v>
      </c>
      <c r="AD102" s="6" t="s">
        <v>191</v>
      </c>
      <c r="AE102" s="6" t="s">
        <v>56</v>
      </c>
      <c r="AF102" s="6" t="s">
        <v>40</v>
      </c>
      <c r="AG102" s="6" t="s">
        <v>57</v>
      </c>
      <c r="AH102" s="6" t="s">
        <v>40</v>
      </c>
      <c r="AI102" s="6" t="s">
        <v>40</v>
      </c>
      <c r="AJ102" s="6" t="s">
        <v>40</v>
      </c>
    </row>
    <row r="103" spans="1:36" s="6" customFormat="1" x14ac:dyDescent="0.25">
      <c r="A103" s="6" t="s">
        <v>40</v>
      </c>
      <c r="B103" s="6" t="s">
        <v>249</v>
      </c>
      <c r="C103" s="6" t="s">
        <v>40</v>
      </c>
      <c r="D103" s="6" t="s">
        <v>51</v>
      </c>
      <c r="E103" s="7" t="s">
        <v>159</v>
      </c>
      <c r="F103" s="6" t="s">
        <v>40</v>
      </c>
      <c r="G103" s="7" t="s">
        <v>40</v>
      </c>
      <c r="H103" s="6" t="s">
        <v>43</v>
      </c>
      <c r="I103" s="6" t="s">
        <v>190</v>
      </c>
      <c r="J103" s="6" t="s">
        <v>76</v>
      </c>
      <c r="K103" s="6" t="s">
        <v>46</v>
      </c>
      <c r="L103" s="6" t="s">
        <v>77</v>
      </c>
      <c r="M103" s="6" t="s">
        <v>48</v>
      </c>
      <c r="N103" s="6" t="s">
        <v>49</v>
      </c>
      <c r="O103" s="8" t="s">
        <v>40</v>
      </c>
      <c r="P103" s="8">
        <v>3500</v>
      </c>
      <c r="Q103" s="8">
        <v>175</v>
      </c>
      <c r="R103" s="8">
        <v>0</v>
      </c>
      <c r="S103" s="8">
        <v>0</v>
      </c>
      <c r="T103" s="8">
        <v>0</v>
      </c>
      <c r="U103" s="8">
        <v>175</v>
      </c>
      <c r="V103" s="8">
        <v>3675</v>
      </c>
      <c r="W103" s="6" t="s">
        <v>40</v>
      </c>
      <c r="X103" s="6" t="s">
        <v>40</v>
      </c>
      <c r="Y103" s="6" t="s">
        <v>49</v>
      </c>
      <c r="Z103" s="6" t="s">
        <v>40</v>
      </c>
      <c r="AA103" s="6" t="s">
        <v>187</v>
      </c>
      <c r="AB103" s="6" t="s">
        <v>53</v>
      </c>
      <c r="AC103" s="6" t="s">
        <v>54</v>
      </c>
      <c r="AD103" s="6" t="s">
        <v>191</v>
      </c>
      <c r="AE103" s="6" t="s">
        <v>56</v>
      </c>
      <c r="AF103" s="6" t="s">
        <v>40</v>
      </c>
      <c r="AG103" s="6" t="s">
        <v>57</v>
      </c>
      <c r="AH103" s="6" t="s">
        <v>40</v>
      </c>
      <c r="AI103" s="6" t="s">
        <v>40</v>
      </c>
      <c r="AJ103" s="6" t="s">
        <v>40</v>
      </c>
    </row>
    <row r="104" spans="1:36" s="6" customFormat="1" x14ac:dyDescent="0.25">
      <c r="A104" s="6" t="s">
        <v>40</v>
      </c>
      <c r="B104" s="6" t="s">
        <v>250</v>
      </c>
      <c r="C104" s="6" t="s">
        <v>40</v>
      </c>
      <c r="D104" s="6" t="s">
        <v>51</v>
      </c>
      <c r="E104" s="7" t="s">
        <v>164</v>
      </c>
      <c r="F104" s="6" t="s">
        <v>40</v>
      </c>
      <c r="G104" s="7" t="s">
        <v>40</v>
      </c>
      <c r="H104" s="6" t="s">
        <v>43</v>
      </c>
      <c r="I104" s="6" t="s">
        <v>190</v>
      </c>
      <c r="J104" s="6" t="s">
        <v>76</v>
      </c>
      <c r="K104" s="6" t="s">
        <v>46</v>
      </c>
      <c r="L104" s="6" t="s">
        <v>77</v>
      </c>
      <c r="M104" s="6" t="s">
        <v>48</v>
      </c>
      <c r="N104" s="6" t="s">
        <v>49</v>
      </c>
      <c r="O104" s="8" t="s">
        <v>40</v>
      </c>
      <c r="P104" s="8">
        <v>17150</v>
      </c>
      <c r="Q104" s="8">
        <v>857.5</v>
      </c>
      <c r="R104" s="8">
        <v>0</v>
      </c>
      <c r="S104" s="8">
        <v>0</v>
      </c>
      <c r="T104" s="8">
        <v>0</v>
      </c>
      <c r="U104" s="8">
        <v>857.5</v>
      </c>
      <c r="V104" s="8">
        <v>18008</v>
      </c>
      <c r="W104" s="6" t="s">
        <v>40</v>
      </c>
      <c r="X104" s="6" t="s">
        <v>40</v>
      </c>
      <c r="Y104" s="6" t="s">
        <v>49</v>
      </c>
      <c r="Z104" s="6" t="s">
        <v>40</v>
      </c>
      <c r="AA104" s="6" t="s">
        <v>187</v>
      </c>
      <c r="AB104" s="6" t="s">
        <v>53</v>
      </c>
      <c r="AC104" s="6" t="s">
        <v>54</v>
      </c>
      <c r="AD104" s="6" t="s">
        <v>191</v>
      </c>
      <c r="AE104" s="6" t="s">
        <v>56</v>
      </c>
      <c r="AF104" s="6" t="s">
        <v>40</v>
      </c>
      <c r="AG104" s="6" t="s">
        <v>57</v>
      </c>
      <c r="AH104" s="6" t="s">
        <v>40</v>
      </c>
      <c r="AI104" s="6" t="s">
        <v>40</v>
      </c>
      <c r="AJ104" s="6" t="s">
        <v>40</v>
      </c>
    </row>
    <row r="105" spans="1:36" s="6" customFormat="1" x14ac:dyDescent="0.25">
      <c r="A105" s="6" t="s">
        <v>40</v>
      </c>
      <c r="B105" s="6" t="s">
        <v>251</v>
      </c>
      <c r="C105" s="6" t="s">
        <v>40</v>
      </c>
      <c r="D105" s="6" t="s">
        <v>51</v>
      </c>
      <c r="E105" s="7" t="s">
        <v>164</v>
      </c>
      <c r="F105" s="6" t="s">
        <v>40</v>
      </c>
      <c r="G105" s="7" t="s">
        <v>40</v>
      </c>
      <c r="H105" s="6" t="s">
        <v>43</v>
      </c>
      <c r="I105" s="6" t="s">
        <v>190</v>
      </c>
      <c r="J105" s="6" t="s">
        <v>76</v>
      </c>
      <c r="K105" s="6" t="s">
        <v>46</v>
      </c>
      <c r="L105" s="6" t="s">
        <v>77</v>
      </c>
      <c r="M105" s="6" t="s">
        <v>48</v>
      </c>
      <c r="N105" s="6" t="s">
        <v>49</v>
      </c>
      <c r="O105" s="8" t="s">
        <v>40</v>
      </c>
      <c r="P105" s="8">
        <v>1500</v>
      </c>
      <c r="Q105" s="8">
        <v>75</v>
      </c>
      <c r="R105" s="8">
        <v>0</v>
      </c>
      <c r="S105" s="8">
        <v>0</v>
      </c>
      <c r="T105" s="8">
        <v>0</v>
      </c>
      <c r="U105" s="8">
        <v>75</v>
      </c>
      <c r="V105" s="8">
        <v>1575</v>
      </c>
      <c r="W105" s="6" t="s">
        <v>40</v>
      </c>
      <c r="X105" s="6" t="s">
        <v>40</v>
      </c>
      <c r="Y105" s="6" t="s">
        <v>49</v>
      </c>
      <c r="Z105" s="6" t="s">
        <v>40</v>
      </c>
      <c r="AA105" s="6" t="s">
        <v>187</v>
      </c>
      <c r="AB105" s="6" t="s">
        <v>53</v>
      </c>
      <c r="AC105" s="6" t="s">
        <v>54</v>
      </c>
      <c r="AD105" s="6" t="s">
        <v>191</v>
      </c>
      <c r="AE105" s="6" t="s">
        <v>56</v>
      </c>
      <c r="AF105" s="6" t="s">
        <v>40</v>
      </c>
      <c r="AG105" s="6" t="s">
        <v>57</v>
      </c>
      <c r="AH105" s="6" t="s">
        <v>40</v>
      </c>
      <c r="AI105" s="6" t="s">
        <v>40</v>
      </c>
      <c r="AJ105" s="6" t="s">
        <v>40</v>
      </c>
    </row>
    <row r="106" spans="1:36" s="6" customFormat="1" x14ac:dyDescent="0.25">
      <c r="A106" s="6" t="s">
        <v>40</v>
      </c>
      <c r="B106" s="6" t="s">
        <v>252</v>
      </c>
      <c r="C106" s="6" t="s">
        <v>40</v>
      </c>
      <c r="D106" s="6" t="s">
        <v>51</v>
      </c>
      <c r="E106" s="7" t="s">
        <v>164</v>
      </c>
      <c r="F106" s="6" t="s">
        <v>40</v>
      </c>
      <c r="G106" s="7" t="s">
        <v>40</v>
      </c>
      <c r="H106" s="6" t="s">
        <v>43</v>
      </c>
      <c r="I106" s="6" t="s">
        <v>190</v>
      </c>
      <c r="J106" s="6" t="s">
        <v>76</v>
      </c>
      <c r="K106" s="6" t="s">
        <v>46</v>
      </c>
      <c r="L106" s="6" t="s">
        <v>77</v>
      </c>
      <c r="M106" s="6" t="s">
        <v>48</v>
      </c>
      <c r="N106" s="6" t="s">
        <v>49</v>
      </c>
      <c r="O106" s="8" t="s">
        <v>40</v>
      </c>
      <c r="P106" s="8">
        <v>2500</v>
      </c>
      <c r="Q106" s="8">
        <v>125</v>
      </c>
      <c r="R106" s="8">
        <v>0</v>
      </c>
      <c r="S106" s="8">
        <v>0</v>
      </c>
      <c r="T106" s="8">
        <v>0</v>
      </c>
      <c r="U106" s="8">
        <v>125</v>
      </c>
      <c r="V106" s="8">
        <v>2625</v>
      </c>
      <c r="W106" s="6" t="s">
        <v>40</v>
      </c>
      <c r="X106" s="6" t="s">
        <v>40</v>
      </c>
      <c r="Y106" s="6" t="s">
        <v>49</v>
      </c>
      <c r="Z106" s="6" t="s">
        <v>40</v>
      </c>
      <c r="AA106" s="6" t="s">
        <v>187</v>
      </c>
      <c r="AB106" s="6" t="s">
        <v>53</v>
      </c>
      <c r="AC106" s="6" t="s">
        <v>54</v>
      </c>
      <c r="AD106" s="6" t="s">
        <v>191</v>
      </c>
      <c r="AE106" s="6" t="s">
        <v>56</v>
      </c>
      <c r="AF106" s="6" t="s">
        <v>40</v>
      </c>
      <c r="AG106" s="6" t="s">
        <v>57</v>
      </c>
      <c r="AH106" s="6" t="s">
        <v>40</v>
      </c>
      <c r="AI106" s="6" t="s">
        <v>40</v>
      </c>
      <c r="AJ106" s="6" t="s">
        <v>40</v>
      </c>
    </row>
    <row r="107" spans="1:36" s="6" customFormat="1" x14ac:dyDescent="0.25">
      <c r="A107" s="6" t="s">
        <v>40</v>
      </c>
      <c r="B107" s="6" t="s">
        <v>253</v>
      </c>
      <c r="C107" s="6" t="s">
        <v>40</v>
      </c>
      <c r="D107" s="6" t="s">
        <v>51</v>
      </c>
      <c r="E107" s="7" t="s">
        <v>164</v>
      </c>
      <c r="F107" s="6" t="s">
        <v>40</v>
      </c>
      <c r="G107" s="7" t="s">
        <v>40</v>
      </c>
      <c r="H107" s="6" t="s">
        <v>43</v>
      </c>
      <c r="I107" s="6" t="s">
        <v>190</v>
      </c>
      <c r="J107" s="6" t="s">
        <v>76</v>
      </c>
      <c r="K107" s="6" t="s">
        <v>46</v>
      </c>
      <c r="L107" s="6" t="s">
        <v>77</v>
      </c>
      <c r="M107" s="6" t="s">
        <v>48</v>
      </c>
      <c r="N107" s="6" t="s">
        <v>49</v>
      </c>
      <c r="O107" s="8" t="s">
        <v>40</v>
      </c>
      <c r="P107" s="8">
        <v>1500</v>
      </c>
      <c r="Q107" s="8">
        <v>75</v>
      </c>
      <c r="R107" s="8">
        <v>0</v>
      </c>
      <c r="S107" s="8">
        <v>0</v>
      </c>
      <c r="T107" s="8">
        <v>0</v>
      </c>
      <c r="U107" s="8">
        <v>75</v>
      </c>
      <c r="V107" s="8">
        <v>1575</v>
      </c>
      <c r="W107" s="6" t="s">
        <v>40</v>
      </c>
      <c r="X107" s="6" t="s">
        <v>40</v>
      </c>
      <c r="Y107" s="6" t="s">
        <v>49</v>
      </c>
      <c r="Z107" s="6" t="s">
        <v>40</v>
      </c>
      <c r="AA107" s="6" t="s">
        <v>187</v>
      </c>
      <c r="AB107" s="6" t="s">
        <v>53</v>
      </c>
      <c r="AC107" s="6" t="s">
        <v>54</v>
      </c>
      <c r="AD107" s="6" t="s">
        <v>191</v>
      </c>
      <c r="AE107" s="6" t="s">
        <v>56</v>
      </c>
      <c r="AF107" s="6" t="s">
        <v>40</v>
      </c>
      <c r="AG107" s="6" t="s">
        <v>57</v>
      </c>
      <c r="AH107" s="6" t="s">
        <v>40</v>
      </c>
      <c r="AI107" s="6" t="s">
        <v>40</v>
      </c>
      <c r="AJ107" s="6" t="s">
        <v>40</v>
      </c>
    </row>
    <row r="108" spans="1:36" s="6" customFormat="1" x14ac:dyDescent="0.25">
      <c r="A108" s="6" t="s">
        <v>40</v>
      </c>
      <c r="B108" s="6" t="s">
        <v>254</v>
      </c>
      <c r="C108" s="6" t="s">
        <v>40</v>
      </c>
      <c r="D108" s="6" t="s">
        <v>51</v>
      </c>
      <c r="E108" s="7" t="s">
        <v>171</v>
      </c>
      <c r="F108" s="6" t="s">
        <v>40</v>
      </c>
      <c r="G108" s="7" t="s">
        <v>40</v>
      </c>
      <c r="H108" s="6" t="s">
        <v>43</v>
      </c>
      <c r="I108" s="6" t="s">
        <v>185</v>
      </c>
      <c r="J108" s="6" t="s">
        <v>186</v>
      </c>
      <c r="K108" s="6" t="s">
        <v>46</v>
      </c>
      <c r="L108" s="6" t="s">
        <v>47</v>
      </c>
      <c r="M108" s="6" t="s">
        <v>48</v>
      </c>
      <c r="N108" s="6" t="s">
        <v>49</v>
      </c>
      <c r="O108" s="8" t="s">
        <v>40</v>
      </c>
      <c r="P108" s="8">
        <v>37142.9</v>
      </c>
      <c r="Q108" s="8">
        <v>0</v>
      </c>
      <c r="R108" s="8">
        <v>928.57</v>
      </c>
      <c r="S108" s="8">
        <v>928.57</v>
      </c>
      <c r="T108" s="8">
        <v>0</v>
      </c>
      <c r="U108" s="8">
        <v>1857.14</v>
      </c>
      <c r="V108" s="8">
        <v>39000</v>
      </c>
      <c r="W108" s="6" t="s">
        <v>40</v>
      </c>
      <c r="X108" s="6" t="s">
        <v>40</v>
      </c>
      <c r="Y108" s="6" t="s">
        <v>49</v>
      </c>
      <c r="Z108" s="6" t="s">
        <v>40</v>
      </c>
      <c r="AA108" s="6" t="s">
        <v>187</v>
      </c>
      <c r="AB108" s="6" t="s">
        <v>53</v>
      </c>
      <c r="AC108" s="6" t="s">
        <v>54</v>
      </c>
      <c r="AD108" s="6" t="s">
        <v>202</v>
      </c>
      <c r="AE108" s="6" t="s">
        <v>56</v>
      </c>
      <c r="AF108" s="6" t="s">
        <v>40</v>
      </c>
      <c r="AG108" s="6" t="s">
        <v>57</v>
      </c>
      <c r="AH108" s="6" t="s">
        <v>40</v>
      </c>
      <c r="AI108" s="6" t="s">
        <v>40</v>
      </c>
      <c r="AJ108" s="6" t="s">
        <v>40</v>
      </c>
    </row>
    <row r="109" spans="1:36" s="6" customFormat="1" x14ac:dyDescent="0.25">
      <c r="A109" s="6" t="s">
        <v>40</v>
      </c>
      <c r="B109" s="6" t="s">
        <v>255</v>
      </c>
      <c r="C109" s="6" t="s">
        <v>40</v>
      </c>
      <c r="D109" s="6" t="s">
        <v>51</v>
      </c>
      <c r="E109" s="7" t="s">
        <v>171</v>
      </c>
      <c r="F109" s="6" t="s">
        <v>40</v>
      </c>
      <c r="G109" s="7" t="s">
        <v>40</v>
      </c>
      <c r="H109" s="6" t="s">
        <v>43</v>
      </c>
      <c r="I109" s="6" t="s">
        <v>190</v>
      </c>
      <c r="J109" s="6" t="s">
        <v>76</v>
      </c>
      <c r="K109" s="6" t="s">
        <v>46</v>
      </c>
      <c r="L109" s="6" t="s">
        <v>77</v>
      </c>
      <c r="M109" s="6" t="s">
        <v>48</v>
      </c>
      <c r="N109" s="6" t="s">
        <v>49</v>
      </c>
      <c r="O109" s="8" t="s">
        <v>40</v>
      </c>
      <c r="P109" s="8">
        <v>2500</v>
      </c>
      <c r="Q109" s="8">
        <v>125</v>
      </c>
      <c r="R109" s="8">
        <v>0</v>
      </c>
      <c r="S109" s="8">
        <v>0</v>
      </c>
      <c r="T109" s="8">
        <v>0</v>
      </c>
      <c r="U109" s="8">
        <v>125</v>
      </c>
      <c r="V109" s="8">
        <v>2625</v>
      </c>
      <c r="W109" s="6" t="s">
        <v>40</v>
      </c>
      <c r="X109" s="6" t="s">
        <v>40</v>
      </c>
      <c r="Y109" s="6" t="s">
        <v>49</v>
      </c>
      <c r="Z109" s="6" t="s">
        <v>40</v>
      </c>
      <c r="AA109" s="6" t="s">
        <v>187</v>
      </c>
      <c r="AB109" s="6" t="s">
        <v>53</v>
      </c>
      <c r="AC109" s="6" t="s">
        <v>54</v>
      </c>
      <c r="AD109" s="6" t="s">
        <v>191</v>
      </c>
      <c r="AE109" s="6" t="s">
        <v>56</v>
      </c>
      <c r="AF109" s="6" t="s">
        <v>40</v>
      </c>
      <c r="AG109" s="6" t="s">
        <v>57</v>
      </c>
      <c r="AH109" s="6" t="s">
        <v>40</v>
      </c>
      <c r="AI109" s="6" t="s">
        <v>40</v>
      </c>
      <c r="AJ109" s="6" t="s">
        <v>40</v>
      </c>
    </row>
    <row r="110" spans="1:36" s="6" customFormat="1" x14ac:dyDescent="0.25">
      <c r="A110" s="6" t="s">
        <v>40</v>
      </c>
      <c r="B110" s="6" t="s">
        <v>256</v>
      </c>
      <c r="C110" s="6" t="s">
        <v>40</v>
      </c>
      <c r="D110" s="6" t="s">
        <v>51</v>
      </c>
      <c r="E110" s="7" t="s">
        <v>171</v>
      </c>
      <c r="F110" s="6" t="s">
        <v>40</v>
      </c>
      <c r="G110" s="7" t="s">
        <v>40</v>
      </c>
      <c r="H110" s="6" t="s">
        <v>43</v>
      </c>
      <c r="I110" s="6" t="s">
        <v>190</v>
      </c>
      <c r="J110" s="6" t="s">
        <v>76</v>
      </c>
      <c r="K110" s="6" t="s">
        <v>46</v>
      </c>
      <c r="L110" s="6" t="s">
        <v>77</v>
      </c>
      <c r="M110" s="6" t="s">
        <v>48</v>
      </c>
      <c r="N110" s="6" t="s">
        <v>49</v>
      </c>
      <c r="O110" s="8" t="s">
        <v>40</v>
      </c>
      <c r="P110" s="8">
        <v>2500</v>
      </c>
      <c r="Q110" s="8">
        <v>125</v>
      </c>
      <c r="R110" s="8">
        <v>0</v>
      </c>
      <c r="S110" s="8">
        <v>0</v>
      </c>
      <c r="T110" s="8">
        <v>0</v>
      </c>
      <c r="U110" s="8">
        <v>125</v>
      </c>
      <c r="V110" s="8">
        <v>2625</v>
      </c>
      <c r="W110" s="6" t="s">
        <v>40</v>
      </c>
      <c r="X110" s="6" t="s">
        <v>40</v>
      </c>
      <c r="Y110" s="6" t="s">
        <v>49</v>
      </c>
      <c r="Z110" s="6" t="s">
        <v>40</v>
      </c>
      <c r="AA110" s="6" t="s">
        <v>187</v>
      </c>
      <c r="AB110" s="6" t="s">
        <v>53</v>
      </c>
      <c r="AC110" s="6" t="s">
        <v>54</v>
      </c>
      <c r="AD110" s="6" t="s">
        <v>191</v>
      </c>
      <c r="AE110" s="6" t="s">
        <v>56</v>
      </c>
      <c r="AF110" s="6" t="s">
        <v>40</v>
      </c>
      <c r="AG110" s="6" t="s">
        <v>57</v>
      </c>
      <c r="AH110" s="6" t="s">
        <v>40</v>
      </c>
      <c r="AI110" s="6" t="s">
        <v>40</v>
      </c>
      <c r="AJ110" s="6" t="s">
        <v>40</v>
      </c>
    </row>
    <row r="111" spans="1:36" s="6" customFormat="1" x14ac:dyDescent="0.25">
      <c r="A111" s="6" t="s">
        <v>40</v>
      </c>
      <c r="B111" s="6" t="s">
        <v>257</v>
      </c>
      <c r="C111" s="6" t="s">
        <v>40</v>
      </c>
      <c r="D111" s="6" t="s">
        <v>51</v>
      </c>
      <c r="E111" s="7" t="s">
        <v>178</v>
      </c>
      <c r="F111" s="6" t="s">
        <v>40</v>
      </c>
      <c r="G111" s="7" t="s">
        <v>40</v>
      </c>
      <c r="H111" s="6" t="s">
        <v>43</v>
      </c>
      <c r="I111" s="6" t="s">
        <v>190</v>
      </c>
      <c r="J111" s="6" t="s">
        <v>76</v>
      </c>
      <c r="K111" s="6" t="s">
        <v>46</v>
      </c>
      <c r="L111" s="6" t="s">
        <v>77</v>
      </c>
      <c r="M111" s="6" t="s">
        <v>48</v>
      </c>
      <c r="N111" s="6" t="s">
        <v>49</v>
      </c>
      <c r="O111" s="8" t="s">
        <v>40</v>
      </c>
      <c r="P111" s="8">
        <v>3800</v>
      </c>
      <c r="Q111" s="8">
        <v>190</v>
      </c>
      <c r="R111" s="8">
        <v>0</v>
      </c>
      <c r="S111" s="8">
        <v>0</v>
      </c>
      <c r="T111" s="8">
        <v>0</v>
      </c>
      <c r="U111" s="8">
        <v>190</v>
      </c>
      <c r="V111" s="8">
        <v>3990</v>
      </c>
      <c r="W111" s="6" t="s">
        <v>40</v>
      </c>
      <c r="X111" s="6" t="s">
        <v>40</v>
      </c>
      <c r="Y111" s="6" t="s">
        <v>49</v>
      </c>
      <c r="Z111" s="6" t="s">
        <v>40</v>
      </c>
      <c r="AA111" s="6" t="s">
        <v>187</v>
      </c>
      <c r="AB111" s="6" t="s">
        <v>53</v>
      </c>
      <c r="AC111" s="6" t="s">
        <v>54</v>
      </c>
      <c r="AD111" s="6" t="s">
        <v>191</v>
      </c>
      <c r="AE111" s="6" t="s">
        <v>56</v>
      </c>
      <c r="AF111" s="6" t="s">
        <v>40</v>
      </c>
      <c r="AG111" s="6" t="s">
        <v>57</v>
      </c>
      <c r="AH111" s="6" t="s">
        <v>40</v>
      </c>
      <c r="AI111" s="6" t="s">
        <v>40</v>
      </c>
      <c r="AJ111" s="6" t="s">
        <v>40</v>
      </c>
    </row>
    <row r="112" spans="1:36" s="6" customFormat="1" x14ac:dyDescent="0.25">
      <c r="A112" s="6" t="s">
        <v>40</v>
      </c>
      <c r="B112" s="6" t="s">
        <v>258</v>
      </c>
      <c r="C112" s="6" t="s">
        <v>40</v>
      </c>
      <c r="D112" s="6" t="s">
        <v>51</v>
      </c>
      <c r="E112" s="7" t="s">
        <v>178</v>
      </c>
      <c r="F112" s="6" t="s">
        <v>40</v>
      </c>
      <c r="G112" s="7" t="s">
        <v>40</v>
      </c>
      <c r="H112" s="6" t="s">
        <v>43</v>
      </c>
      <c r="I112" s="6" t="s">
        <v>190</v>
      </c>
      <c r="J112" s="6" t="s">
        <v>76</v>
      </c>
      <c r="K112" s="6" t="s">
        <v>46</v>
      </c>
      <c r="L112" s="6" t="s">
        <v>77</v>
      </c>
      <c r="M112" s="6" t="s">
        <v>48</v>
      </c>
      <c r="N112" s="6" t="s">
        <v>49</v>
      </c>
      <c r="O112" s="8" t="s">
        <v>40</v>
      </c>
      <c r="P112" s="8">
        <v>2500</v>
      </c>
      <c r="Q112" s="8">
        <v>125</v>
      </c>
      <c r="R112" s="8">
        <v>0</v>
      </c>
      <c r="S112" s="8">
        <v>0</v>
      </c>
      <c r="T112" s="8">
        <v>0</v>
      </c>
      <c r="U112" s="8">
        <v>125</v>
      </c>
      <c r="V112" s="8">
        <v>2625</v>
      </c>
      <c r="W112" s="6" t="s">
        <v>40</v>
      </c>
      <c r="X112" s="6" t="s">
        <v>40</v>
      </c>
      <c r="Y112" s="6" t="s">
        <v>49</v>
      </c>
      <c r="Z112" s="6" t="s">
        <v>40</v>
      </c>
      <c r="AA112" s="6" t="s">
        <v>187</v>
      </c>
      <c r="AB112" s="6" t="s">
        <v>53</v>
      </c>
      <c r="AC112" s="6" t="s">
        <v>54</v>
      </c>
      <c r="AD112" s="6" t="s">
        <v>191</v>
      </c>
      <c r="AE112" s="6" t="s">
        <v>56</v>
      </c>
      <c r="AF112" s="6" t="s">
        <v>40</v>
      </c>
      <c r="AG112" s="6" t="s">
        <v>57</v>
      </c>
      <c r="AH112" s="6" t="s">
        <v>40</v>
      </c>
      <c r="AI112" s="6" t="s">
        <v>40</v>
      </c>
      <c r="AJ112" s="6" t="s">
        <v>40</v>
      </c>
    </row>
    <row r="113" spans="1:36" s="6" customFormat="1" x14ac:dyDescent="0.25">
      <c r="A113" s="6" t="s">
        <v>40</v>
      </c>
      <c r="B113" s="6" t="s">
        <v>259</v>
      </c>
      <c r="C113" s="6" t="s">
        <v>40</v>
      </c>
      <c r="D113" s="6" t="s">
        <v>51</v>
      </c>
      <c r="E113" s="7" t="s">
        <v>181</v>
      </c>
      <c r="F113" s="6" t="s">
        <v>40</v>
      </c>
      <c r="G113" s="7" t="s">
        <v>40</v>
      </c>
      <c r="H113" s="6" t="s">
        <v>43</v>
      </c>
      <c r="I113" s="6" t="s">
        <v>239</v>
      </c>
      <c r="J113" s="6" t="s">
        <v>260</v>
      </c>
      <c r="K113" s="6" t="s">
        <v>46</v>
      </c>
      <c r="L113" s="6" t="s">
        <v>47</v>
      </c>
      <c r="M113" s="6" t="s">
        <v>48</v>
      </c>
      <c r="N113" s="6" t="s">
        <v>49</v>
      </c>
      <c r="O113" s="8" t="s">
        <v>40</v>
      </c>
      <c r="P113" s="8">
        <v>99</v>
      </c>
      <c r="Q113" s="8">
        <v>0</v>
      </c>
      <c r="R113" s="8">
        <v>8.91</v>
      </c>
      <c r="S113" s="8">
        <v>8.91</v>
      </c>
      <c r="T113" s="8">
        <v>0</v>
      </c>
      <c r="U113" s="8">
        <v>17.82</v>
      </c>
      <c r="V113" s="8">
        <v>116.82</v>
      </c>
      <c r="W113" s="6" t="s">
        <v>40</v>
      </c>
      <c r="X113" s="6" t="s">
        <v>40</v>
      </c>
      <c r="Y113" s="6" t="s">
        <v>49</v>
      </c>
      <c r="Z113" s="6" t="s">
        <v>40</v>
      </c>
      <c r="AA113" s="6" t="s">
        <v>187</v>
      </c>
      <c r="AB113" s="6" t="s">
        <v>53</v>
      </c>
      <c r="AC113" s="6" t="s">
        <v>54</v>
      </c>
      <c r="AD113" s="6" t="s">
        <v>55</v>
      </c>
      <c r="AE113" s="6" t="s">
        <v>56</v>
      </c>
      <c r="AF113" s="6" t="s">
        <v>40</v>
      </c>
      <c r="AG113" s="6" t="s">
        <v>57</v>
      </c>
      <c r="AH113" s="6" t="s">
        <v>40</v>
      </c>
      <c r="AI113" s="6" t="s">
        <v>40</v>
      </c>
      <c r="AJ113" s="6" t="s">
        <v>40</v>
      </c>
    </row>
    <row r="114" spans="1:36" s="6" customFormat="1" x14ac:dyDescent="0.25">
      <c r="A114" s="6" t="s">
        <v>40</v>
      </c>
      <c r="B114" s="6" t="s">
        <v>261</v>
      </c>
      <c r="C114" s="6" t="s">
        <v>40</v>
      </c>
      <c r="D114" s="6" t="s">
        <v>51</v>
      </c>
      <c r="E114" s="7" t="s">
        <v>181</v>
      </c>
      <c r="F114" s="6" t="s">
        <v>40</v>
      </c>
      <c r="G114" s="7" t="s">
        <v>40</v>
      </c>
      <c r="H114" s="6" t="s">
        <v>43</v>
      </c>
      <c r="I114" s="6" t="s">
        <v>190</v>
      </c>
      <c r="J114" s="6" t="s">
        <v>76</v>
      </c>
      <c r="K114" s="6" t="s">
        <v>46</v>
      </c>
      <c r="L114" s="6" t="s">
        <v>77</v>
      </c>
      <c r="M114" s="6" t="s">
        <v>48</v>
      </c>
      <c r="N114" s="6" t="s">
        <v>49</v>
      </c>
      <c r="O114" s="8" t="s">
        <v>40</v>
      </c>
      <c r="P114" s="8">
        <v>2800</v>
      </c>
      <c r="Q114" s="8">
        <v>140</v>
      </c>
      <c r="R114" s="8">
        <v>0</v>
      </c>
      <c r="S114" s="8">
        <v>0</v>
      </c>
      <c r="T114" s="8">
        <v>0</v>
      </c>
      <c r="U114" s="8">
        <v>140</v>
      </c>
      <c r="V114" s="8">
        <v>2940</v>
      </c>
      <c r="W114" s="6" t="s">
        <v>40</v>
      </c>
      <c r="X114" s="6" t="s">
        <v>40</v>
      </c>
      <c r="Y114" s="6" t="s">
        <v>49</v>
      </c>
      <c r="Z114" s="6" t="s">
        <v>40</v>
      </c>
      <c r="AA114" s="6" t="s">
        <v>187</v>
      </c>
      <c r="AB114" s="6" t="s">
        <v>53</v>
      </c>
      <c r="AC114" s="6" t="s">
        <v>54</v>
      </c>
      <c r="AD114" s="6" t="s">
        <v>191</v>
      </c>
      <c r="AE114" s="6" t="s">
        <v>56</v>
      </c>
      <c r="AF114" s="6" t="s">
        <v>40</v>
      </c>
      <c r="AG114" s="6" t="s">
        <v>57</v>
      </c>
      <c r="AH114" s="6" t="s">
        <v>40</v>
      </c>
      <c r="AI114" s="6" t="s">
        <v>40</v>
      </c>
      <c r="AJ114" s="6" t="s">
        <v>40</v>
      </c>
    </row>
    <row r="115" spans="1:36" s="6" customFormat="1" x14ac:dyDescent="0.25">
      <c r="A115" s="6" t="s">
        <v>40</v>
      </c>
      <c r="B115" s="6" t="s">
        <v>262</v>
      </c>
      <c r="C115" s="6" t="s">
        <v>40</v>
      </c>
      <c r="D115" s="6" t="s">
        <v>51</v>
      </c>
      <c r="E115" s="7" t="s">
        <v>181</v>
      </c>
      <c r="F115" s="6" t="s">
        <v>40</v>
      </c>
      <c r="G115" s="7" t="s">
        <v>40</v>
      </c>
      <c r="H115" s="6" t="s">
        <v>43</v>
      </c>
      <c r="I115" s="6" t="s">
        <v>239</v>
      </c>
      <c r="J115" s="6" t="s">
        <v>260</v>
      </c>
      <c r="K115" s="6" t="s">
        <v>46</v>
      </c>
      <c r="L115" s="6" t="s">
        <v>47</v>
      </c>
      <c r="M115" s="6" t="s">
        <v>48</v>
      </c>
      <c r="N115" s="6" t="s">
        <v>49</v>
      </c>
      <c r="O115" s="8" t="s">
        <v>40</v>
      </c>
      <c r="P115" s="8">
        <v>355.67</v>
      </c>
      <c r="Q115" s="8">
        <v>0</v>
      </c>
      <c r="R115" s="8">
        <v>32.01</v>
      </c>
      <c r="S115" s="8">
        <v>32.01</v>
      </c>
      <c r="T115" s="8">
        <v>0</v>
      </c>
      <c r="U115" s="8">
        <v>64.02</v>
      </c>
      <c r="V115" s="8">
        <v>419.69</v>
      </c>
      <c r="W115" s="6" t="s">
        <v>40</v>
      </c>
      <c r="X115" s="6" t="s">
        <v>40</v>
      </c>
      <c r="Y115" s="6" t="s">
        <v>49</v>
      </c>
      <c r="Z115" s="6" t="s">
        <v>40</v>
      </c>
      <c r="AA115" s="6" t="s">
        <v>187</v>
      </c>
      <c r="AB115" s="6" t="s">
        <v>53</v>
      </c>
      <c r="AC115" s="6" t="s">
        <v>54</v>
      </c>
      <c r="AD115" s="6" t="s">
        <v>55</v>
      </c>
      <c r="AE115" s="6" t="s">
        <v>56</v>
      </c>
      <c r="AF115" s="6" t="s">
        <v>40</v>
      </c>
      <c r="AG115" s="6" t="s">
        <v>57</v>
      </c>
      <c r="AH115" s="6" t="s">
        <v>40</v>
      </c>
      <c r="AI115" s="6" t="s">
        <v>40</v>
      </c>
      <c r="AJ115" s="6" t="s">
        <v>40</v>
      </c>
    </row>
    <row r="116" spans="1:36" x14ac:dyDescent="0.25">
      <c r="N116" s="20" t="s">
        <v>263</v>
      </c>
      <c r="O116" s="21" t="s">
        <v>263</v>
      </c>
      <c r="P116" s="9">
        <f t="shared" ref="P116:V116" si="2">SUM(P56:P115)</f>
        <v>386028.99</v>
      </c>
      <c r="Q116" s="9">
        <f t="shared" si="2"/>
        <v>9960.7800000000007</v>
      </c>
      <c r="R116" s="9">
        <f t="shared" si="2"/>
        <v>4809.7400000000007</v>
      </c>
      <c r="S116" s="9">
        <f t="shared" si="2"/>
        <v>4809.7400000000007</v>
      </c>
      <c r="T116" s="9">
        <f t="shared" si="2"/>
        <v>0</v>
      </c>
      <c r="U116" s="9">
        <f t="shared" si="2"/>
        <v>19580.259999999998</v>
      </c>
      <c r="V116" s="9">
        <f t="shared" si="2"/>
        <v>405609.58999999997</v>
      </c>
    </row>
  </sheetData>
  <mergeCells count="6">
    <mergeCell ref="N116:O116"/>
    <mergeCell ref="A1:C1"/>
    <mergeCell ref="M5:O5"/>
    <mergeCell ref="M6:O6"/>
    <mergeCell ref="M7:O7"/>
    <mergeCell ref="N55:O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B48"/>
  <sheetViews>
    <sheetView topLeftCell="E1" workbookViewId="0">
      <pane ySplit="2" topLeftCell="A6" activePane="bottomLeft" state="frozen"/>
      <selection pane="bottomLeft" activeCell="G21" sqref="G21"/>
    </sheetView>
  </sheetViews>
  <sheetFormatPr defaultRowHeight="15" x14ac:dyDescent="0.25"/>
  <cols>
    <col min="1" max="1" width="9.140625" customWidth="1"/>
    <col min="2" max="2" width="10.85546875" customWidth="1"/>
    <col min="3" max="3" width="9.140625" customWidth="1"/>
    <col min="4" max="4" width="12.5703125" style="1" customWidth="1"/>
    <col min="5" max="5" width="19.5703125" customWidth="1"/>
    <col min="6" max="6" width="16.5703125" style="1" customWidth="1"/>
    <col min="7" max="7" width="9.140625" customWidth="1"/>
    <col min="8" max="8" width="22.42578125" customWidth="1"/>
    <col min="9" max="9" width="18.85546875" customWidth="1"/>
    <col min="10" max="10" width="15.5703125" customWidth="1"/>
    <col min="11" max="11" width="12.28515625" customWidth="1"/>
    <col min="12" max="12" width="12.7109375" customWidth="1"/>
    <col min="13" max="13" width="15.28515625" customWidth="1"/>
    <col min="14" max="14" width="9.85546875" style="2" customWidth="1"/>
    <col min="15" max="15" width="18.85546875" style="2" customWidth="1"/>
    <col min="16" max="16" width="14.42578125" style="2" customWidth="1"/>
    <col min="17" max="17" width="11.5703125" style="2" customWidth="1"/>
    <col min="18" max="18" width="13.140625" style="2" customWidth="1"/>
    <col min="19" max="19" width="9.140625" style="2" customWidth="1"/>
    <col min="20" max="20" width="9.5703125" style="2" customWidth="1"/>
    <col min="21" max="21" width="13.42578125" style="2" customWidth="1"/>
    <col min="22" max="22" width="16.140625" customWidth="1"/>
    <col min="23" max="23" width="19.85546875" customWidth="1"/>
    <col min="24" max="24" width="14.7109375" customWidth="1"/>
    <col min="25" max="25" width="23.42578125" customWidth="1"/>
    <col min="26" max="27" width="9.140625" customWidth="1"/>
    <col min="28" max="28" width="9.42578125" customWidth="1"/>
  </cols>
  <sheetData>
    <row r="1" spans="1:28" x14ac:dyDescent="0.25">
      <c r="A1" s="17" t="s">
        <v>264</v>
      </c>
      <c r="B1" s="18"/>
      <c r="C1" s="18"/>
    </row>
    <row r="2" spans="1:28" x14ac:dyDescent="0.25">
      <c r="A2" s="3" t="s">
        <v>1</v>
      </c>
      <c r="B2" s="3" t="s">
        <v>4</v>
      </c>
      <c r="C2" s="3" t="s">
        <v>5</v>
      </c>
      <c r="D2" s="4" t="s">
        <v>7</v>
      </c>
      <c r="E2" s="3" t="s">
        <v>8</v>
      </c>
      <c r="F2" s="4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3" t="s">
        <v>28</v>
      </c>
      <c r="W2" s="3" t="s">
        <v>29</v>
      </c>
      <c r="X2" s="3" t="s">
        <v>30</v>
      </c>
      <c r="Y2" s="3" t="s">
        <v>32</v>
      </c>
      <c r="Z2" s="3" t="s">
        <v>6</v>
      </c>
      <c r="AA2" s="3" t="s">
        <v>34</v>
      </c>
      <c r="AB2" s="3" t="s">
        <v>35</v>
      </c>
    </row>
    <row r="3" spans="1:28" x14ac:dyDescent="0.25">
      <c r="A3" t="s">
        <v>38</v>
      </c>
      <c r="B3" t="s">
        <v>67</v>
      </c>
      <c r="C3" t="s">
        <v>40</v>
      </c>
      <c r="D3" s="1" t="s">
        <v>68</v>
      </c>
      <c r="E3" t="s">
        <v>40</v>
      </c>
      <c r="F3" s="1" t="s">
        <v>40</v>
      </c>
      <c r="G3" t="s">
        <v>43</v>
      </c>
      <c r="H3" t="s">
        <v>69</v>
      </c>
      <c r="I3" t="s">
        <v>70</v>
      </c>
      <c r="J3" t="s">
        <v>46</v>
      </c>
      <c r="K3" t="s">
        <v>47</v>
      </c>
      <c r="L3" t="s">
        <v>48</v>
      </c>
      <c r="M3" t="s">
        <v>49</v>
      </c>
      <c r="N3" s="2" t="s">
        <v>40</v>
      </c>
      <c r="O3" s="2">
        <v>16381.65</v>
      </c>
      <c r="P3" s="2">
        <v>0</v>
      </c>
      <c r="Q3" s="2">
        <v>409.54</v>
      </c>
      <c r="R3" s="2">
        <v>409.54</v>
      </c>
      <c r="S3" s="2">
        <v>0</v>
      </c>
      <c r="T3" s="2">
        <v>819.08</v>
      </c>
      <c r="U3" s="2">
        <v>17201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</row>
    <row r="4" spans="1:28" x14ac:dyDescent="0.25">
      <c r="A4" t="s">
        <v>66</v>
      </c>
      <c r="B4" t="s">
        <v>81</v>
      </c>
      <c r="C4" t="s">
        <v>40</v>
      </c>
      <c r="D4" s="1" t="s">
        <v>74</v>
      </c>
      <c r="E4" t="s">
        <v>40</v>
      </c>
      <c r="F4" s="1" t="s">
        <v>40</v>
      </c>
      <c r="G4" t="s">
        <v>43</v>
      </c>
      <c r="H4" t="s">
        <v>75</v>
      </c>
      <c r="I4" t="s">
        <v>76</v>
      </c>
      <c r="J4" t="s">
        <v>46</v>
      </c>
      <c r="K4" t="s">
        <v>77</v>
      </c>
      <c r="L4" t="s">
        <v>48</v>
      </c>
      <c r="M4" t="s">
        <v>49</v>
      </c>
      <c r="N4" s="2" t="s">
        <v>40</v>
      </c>
      <c r="O4" s="2">
        <v>2800</v>
      </c>
      <c r="P4" s="2">
        <v>140</v>
      </c>
      <c r="Q4" s="2">
        <v>0</v>
      </c>
      <c r="R4" s="2">
        <v>0</v>
      </c>
      <c r="S4" s="2">
        <v>0</v>
      </c>
      <c r="T4" s="2">
        <v>140</v>
      </c>
      <c r="U4" s="2">
        <v>2940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</row>
    <row r="5" spans="1:28" x14ac:dyDescent="0.25">
      <c r="A5" t="s">
        <v>72</v>
      </c>
      <c r="B5" t="s">
        <v>83</v>
      </c>
      <c r="C5" t="s">
        <v>40</v>
      </c>
      <c r="D5" s="1" t="s">
        <v>74</v>
      </c>
      <c r="E5" t="s">
        <v>40</v>
      </c>
      <c r="F5" s="1" t="s">
        <v>40</v>
      </c>
      <c r="G5" t="s">
        <v>43</v>
      </c>
      <c r="H5" t="s">
        <v>75</v>
      </c>
      <c r="I5" t="s">
        <v>76</v>
      </c>
      <c r="J5" t="s">
        <v>46</v>
      </c>
      <c r="K5" t="s">
        <v>77</v>
      </c>
      <c r="L5" t="s">
        <v>48</v>
      </c>
      <c r="M5" t="s">
        <v>49</v>
      </c>
      <c r="N5" s="2" t="s">
        <v>40</v>
      </c>
      <c r="O5" s="2">
        <v>2500</v>
      </c>
      <c r="P5" s="2">
        <v>125</v>
      </c>
      <c r="Q5" s="2">
        <v>0</v>
      </c>
      <c r="R5" s="2">
        <v>0</v>
      </c>
      <c r="S5" s="2">
        <v>0</v>
      </c>
      <c r="T5" s="2">
        <v>125</v>
      </c>
      <c r="U5" s="2">
        <v>2625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</row>
    <row r="6" spans="1:28" x14ac:dyDescent="0.25">
      <c r="A6" t="s">
        <v>78</v>
      </c>
      <c r="B6" t="s">
        <v>73</v>
      </c>
      <c r="C6" t="s">
        <v>40</v>
      </c>
      <c r="D6" s="1" t="s">
        <v>74</v>
      </c>
      <c r="E6" t="s">
        <v>40</v>
      </c>
      <c r="F6" s="1" t="s">
        <v>40</v>
      </c>
      <c r="G6" t="s">
        <v>43</v>
      </c>
      <c r="H6" t="s">
        <v>75</v>
      </c>
      <c r="I6" t="s">
        <v>76</v>
      </c>
      <c r="J6" t="s">
        <v>46</v>
      </c>
      <c r="K6" t="s">
        <v>77</v>
      </c>
      <c r="L6" t="s">
        <v>48</v>
      </c>
      <c r="M6" t="s">
        <v>49</v>
      </c>
      <c r="N6" s="2" t="s">
        <v>40</v>
      </c>
      <c r="O6" s="2">
        <v>1800</v>
      </c>
      <c r="P6" s="2">
        <v>90</v>
      </c>
      <c r="Q6" s="2">
        <v>0</v>
      </c>
      <c r="R6" s="2">
        <v>0</v>
      </c>
      <c r="S6" s="2">
        <v>0</v>
      </c>
      <c r="T6" s="2">
        <v>90</v>
      </c>
      <c r="U6" s="2">
        <v>1890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</row>
    <row r="7" spans="1:28" x14ac:dyDescent="0.25">
      <c r="A7" t="s">
        <v>80</v>
      </c>
      <c r="B7" t="s">
        <v>79</v>
      </c>
      <c r="C7" t="s">
        <v>40</v>
      </c>
      <c r="D7" s="1" t="s">
        <v>74</v>
      </c>
      <c r="E7" t="s">
        <v>40</v>
      </c>
      <c r="F7" s="1" t="s">
        <v>40</v>
      </c>
      <c r="G7" t="s">
        <v>43</v>
      </c>
      <c r="H7" t="s">
        <v>75</v>
      </c>
      <c r="I7" t="s">
        <v>76</v>
      </c>
      <c r="J7" t="s">
        <v>46</v>
      </c>
      <c r="K7" t="s">
        <v>77</v>
      </c>
      <c r="L7" t="s">
        <v>48</v>
      </c>
      <c r="M7" t="s">
        <v>49</v>
      </c>
      <c r="N7" s="2" t="s">
        <v>40</v>
      </c>
      <c r="O7" s="2">
        <v>3500</v>
      </c>
      <c r="P7" s="2">
        <v>175</v>
      </c>
      <c r="Q7" s="2">
        <v>0</v>
      </c>
      <c r="R7" s="2">
        <v>0</v>
      </c>
      <c r="S7" s="2">
        <v>0</v>
      </c>
      <c r="T7" s="2">
        <v>175</v>
      </c>
      <c r="U7" s="2">
        <v>3675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</row>
    <row r="8" spans="1:28" x14ac:dyDescent="0.25">
      <c r="A8" t="s">
        <v>82</v>
      </c>
      <c r="B8" t="s">
        <v>85</v>
      </c>
      <c r="C8" t="s">
        <v>40</v>
      </c>
      <c r="D8" s="1" t="s">
        <v>74</v>
      </c>
      <c r="E8" t="s">
        <v>40</v>
      </c>
      <c r="F8" s="1" t="s">
        <v>40</v>
      </c>
      <c r="G8" t="s">
        <v>43</v>
      </c>
      <c r="H8" t="s">
        <v>75</v>
      </c>
      <c r="I8" t="s">
        <v>76</v>
      </c>
      <c r="J8" t="s">
        <v>46</v>
      </c>
      <c r="K8" t="s">
        <v>77</v>
      </c>
      <c r="L8" t="s">
        <v>48</v>
      </c>
      <c r="M8" t="s">
        <v>49</v>
      </c>
      <c r="N8" s="2" t="s">
        <v>40</v>
      </c>
      <c r="O8" s="2">
        <v>2500</v>
      </c>
      <c r="P8" s="2">
        <v>125</v>
      </c>
      <c r="Q8" s="2">
        <v>0</v>
      </c>
      <c r="R8" s="2">
        <v>0</v>
      </c>
      <c r="S8" s="2">
        <v>0</v>
      </c>
      <c r="T8" s="2">
        <v>125</v>
      </c>
      <c r="U8" s="2">
        <v>2625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</row>
    <row r="9" spans="1:28" x14ac:dyDescent="0.25">
      <c r="A9" t="s">
        <v>84</v>
      </c>
      <c r="B9" t="s">
        <v>87</v>
      </c>
      <c r="C9" t="s">
        <v>40</v>
      </c>
      <c r="D9" s="1" t="s">
        <v>88</v>
      </c>
      <c r="E9" t="s">
        <v>40</v>
      </c>
      <c r="F9" s="1" t="s">
        <v>40</v>
      </c>
      <c r="G9" t="s">
        <v>43</v>
      </c>
      <c r="H9" t="s">
        <v>75</v>
      </c>
      <c r="I9" t="s">
        <v>76</v>
      </c>
      <c r="J9" t="s">
        <v>46</v>
      </c>
      <c r="K9" t="s">
        <v>77</v>
      </c>
      <c r="L9" t="s">
        <v>48</v>
      </c>
      <c r="M9" t="s">
        <v>49</v>
      </c>
      <c r="N9" s="2" t="s">
        <v>40</v>
      </c>
      <c r="O9" s="2">
        <v>3000</v>
      </c>
      <c r="P9" s="2">
        <v>150</v>
      </c>
      <c r="Q9" s="2">
        <v>0</v>
      </c>
      <c r="R9" s="2">
        <v>0</v>
      </c>
      <c r="S9" s="2">
        <v>0</v>
      </c>
      <c r="T9" s="2">
        <v>150</v>
      </c>
      <c r="U9" s="2">
        <v>3150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</row>
    <row r="10" spans="1:28" x14ac:dyDescent="0.25">
      <c r="A10" t="s">
        <v>89</v>
      </c>
      <c r="B10" t="s">
        <v>90</v>
      </c>
      <c r="C10" t="s">
        <v>40</v>
      </c>
      <c r="D10" s="1" t="s">
        <v>91</v>
      </c>
      <c r="E10" t="s">
        <v>40</v>
      </c>
      <c r="F10" s="1" t="s">
        <v>40</v>
      </c>
      <c r="G10" t="s">
        <v>43</v>
      </c>
      <c r="H10" t="s">
        <v>75</v>
      </c>
      <c r="I10" t="s">
        <v>76</v>
      </c>
      <c r="J10" t="s">
        <v>46</v>
      </c>
      <c r="K10" t="s">
        <v>77</v>
      </c>
      <c r="L10" t="s">
        <v>48</v>
      </c>
      <c r="M10" t="s">
        <v>49</v>
      </c>
      <c r="N10" s="2" t="s">
        <v>40</v>
      </c>
      <c r="O10" s="2">
        <v>2800</v>
      </c>
      <c r="P10" s="2">
        <v>140</v>
      </c>
      <c r="Q10" s="2">
        <v>0</v>
      </c>
      <c r="R10" s="2">
        <v>0</v>
      </c>
      <c r="S10" s="2">
        <v>0</v>
      </c>
      <c r="T10" s="2">
        <v>140</v>
      </c>
      <c r="U10" s="2">
        <v>2940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</row>
    <row r="11" spans="1:28" x14ac:dyDescent="0.25">
      <c r="A11" t="s">
        <v>96</v>
      </c>
      <c r="B11" t="s">
        <v>93</v>
      </c>
      <c r="C11" t="s">
        <v>40</v>
      </c>
      <c r="D11" s="1" t="s">
        <v>94</v>
      </c>
      <c r="E11" t="s">
        <v>40</v>
      </c>
      <c r="F11" s="1" t="s">
        <v>40</v>
      </c>
      <c r="G11" t="s">
        <v>43</v>
      </c>
      <c r="H11" t="s">
        <v>95</v>
      </c>
      <c r="I11" t="s">
        <v>40</v>
      </c>
      <c r="J11" t="s">
        <v>46</v>
      </c>
      <c r="K11" t="s">
        <v>47</v>
      </c>
      <c r="L11" t="s">
        <v>48</v>
      </c>
      <c r="M11" t="s">
        <v>49</v>
      </c>
      <c r="N11" s="2" t="s">
        <v>40</v>
      </c>
      <c r="O11" s="2">
        <v>37142.9</v>
      </c>
      <c r="P11" s="2">
        <v>0</v>
      </c>
      <c r="Q11" s="2">
        <v>928.57</v>
      </c>
      <c r="R11" s="2">
        <v>928.57</v>
      </c>
      <c r="S11" s="2">
        <v>0</v>
      </c>
      <c r="T11" s="2">
        <v>1857.14</v>
      </c>
      <c r="U11" s="2">
        <v>39000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</row>
    <row r="12" spans="1:28" x14ac:dyDescent="0.25">
      <c r="A12" t="s">
        <v>86</v>
      </c>
      <c r="B12" t="s">
        <v>97</v>
      </c>
      <c r="C12" t="s">
        <v>40</v>
      </c>
      <c r="D12" s="1" t="s">
        <v>98</v>
      </c>
      <c r="E12" t="s">
        <v>40</v>
      </c>
      <c r="F12" s="1" t="s">
        <v>40</v>
      </c>
      <c r="G12" t="s">
        <v>43</v>
      </c>
      <c r="H12" t="s">
        <v>75</v>
      </c>
      <c r="I12" t="s">
        <v>76</v>
      </c>
      <c r="J12" t="s">
        <v>46</v>
      </c>
      <c r="K12" t="s">
        <v>77</v>
      </c>
      <c r="L12" t="s">
        <v>48</v>
      </c>
      <c r="M12" t="s">
        <v>49</v>
      </c>
      <c r="N12" s="2" t="s">
        <v>40</v>
      </c>
      <c r="O12" s="2">
        <v>1500</v>
      </c>
      <c r="P12" s="2">
        <v>75</v>
      </c>
      <c r="Q12" s="2">
        <v>0</v>
      </c>
      <c r="R12" s="2">
        <v>0</v>
      </c>
      <c r="S12" s="2">
        <v>0</v>
      </c>
      <c r="T12" s="2">
        <v>75</v>
      </c>
      <c r="U12" s="2">
        <v>1575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</row>
    <row r="13" spans="1:28" x14ac:dyDescent="0.25">
      <c r="A13" t="s">
        <v>92</v>
      </c>
      <c r="B13" t="s">
        <v>100</v>
      </c>
      <c r="C13" t="s">
        <v>40</v>
      </c>
      <c r="D13" s="1" t="s">
        <v>101</v>
      </c>
      <c r="E13" t="s">
        <v>40</v>
      </c>
      <c r="F13" s="1" t="s">
        <v>40</v>
      </c>
      <c r="G13" t="s">
        <v>43</v>
      </c>
      <c r="H13" t="s">
        <v>75</v>
      </c>
      <c r="I13" t="s">
        <v>76</v>
      </c>
      <c r="J13" t="s">
        <v>46</v>
      </c>
      <c r="K13" t="s">
        <v>77</v>
      </c>
      <c r="L13" t="s">
        <v>48</v>
      </c>
      <c r="M13" t="s">
        <v>49</v>
      </c>
      <c r="N13" s="2" t="s">
        <v>40</v>
      </c>
      <c r="O13" s="2">
        <v>1500</v>
      </c>
      <c r="P13" s="2">
        <v>75</v>
      </c>
      <c r="Q13" s="2">
        <v>0</v>
      </c>
      <c r="R13" s="2">
        <v>0</v>
      </c>
      <c r="S13" s="2">
        <v>0</v>
      </c>
      <c r="T13" s="2">
        <v>75</v>
      </c>
      <c r="U13" s="2">
        <v>1575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</row>
    <row r="14" spans="1:28" x14ac:dyDescent="0.25">
      <c r="A14" t="s">
        <v>99</v>
      </c>
      <c r="B14" t="s">
        <v>103</v>
      </c>
      <c r="C14" t="s">
        <v>40</v>
      </c>
      <c r="D14" s="1" t="s">
        <v>101</v>
      </c>
      <c r="E14" t="s">
        <v>40</v>
      </c>
      <c r="F14" s="1" t="s">
        <v>40</v>
      </c>
      <c r="G14" t="s">
        <v>43</v>
      </c>
      <c r="H14" t="s">
        <v>75</v>
      </c>
      <c r="I14" t="s">
        <v>76</v>
      </c>
      <c r="J14" t="s">
        <v>46</v>
      </c>
      <c r="K14" t="s">
        <v>77</v>
      </c>
      <c r="L14" t="s">
        <v>48</v>
      </c>
      <c r="M14" t="s">
        <v>49</v>
      </c>
      <c r="N14" s="2" t="s">
        <v>40</v>
      </c>
      <c r="O14" s="2">
        <v>2000</v>
      </c>
      <c r="P14" s="2">
        <v>100</v>
      </c>
      <c r="Q14" s="2">
        <v>0</v>
      </c>
      <c r="R14" s="2">
        <v>0</v>
      </c>
      <c r="S14" s="2">
        <v>0</v>
      </c>
      <c r="T14" s="2">
        <v>100</v>
      </c>
      <c r="U14" s="2">
        <v>2100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</row>
    <row r="15" spans="1:28" x14ac:dyDescent="0.25">
      <c r="A15" t="s">
        <v>102</v>
      </c>
      <c r="B15" t="s">
        <v>105</v>
      </c>
      <c r="C15" t="s">
        <v>40</v>
      </c>
      <c r="D15" s="1" t="s">
        <v>106</v>
      </c>
      <c r="E15" t="s">
        <v>40</v>
      </c>
      <c r="F15" s="1" t="s">
        <v>40</v>
      </c>
      <c r="G15" t="s">
        <v>43</v>
      </c>
      <c r="H15" t="s">
        <v>75</v>
      </c>
      <c r="I15" t="s">
        <v>76</v>
      </c>
      <c r="J15" t="s">
        <v>46</v>
      </c>
      <c r="K15" t="s">
        <v>77</v>
      </c>
      <c r="L15" t="s">
        <v>48</v>
      </c>
      <c r="M15" t="s">
        <v>49</v>
      </c>
      <c r="N15" s="2" t="s">
        <v>40</v>
      </c>
      <c r="O15" s="2">
        <v>1800</v>
      </c>
      <c r="P15" s="2">
        <v>90</v>
      </c>
      <c r="Q15" s="2">
        <v>0</v>
      </c>
      <c r="R15" s="2">
        <v>0</v>
      </c>
      <c r="S15" s="2">
        <v>0</v>
      </c>
      <c r="T15" s="2">
        <v>90</v>
      </c>
      <c r="U15" s="2">
        <v>1890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</row>
    <row r="16" spans="1:28" x14ac:dyDescent="0.25">
      <c r="A16" t="s">
        <v>104</v>
      </c>
      <c r="B16" t="s">
        <v>108</v>
      </c>
      <c r="C16" t="s">
        <v>40</v>
      </c>
      <c r="D16" s="1" t="s">
        <v>109</v>
      </c>
      <c r="E16" t="s">
        <v>40</v>
      </c>
      <c r="F16" s="1" t="s">
        <v>40</v>
      </c>
      <c r="G16" t="s">
        <v>43</v>
      </c>
      <c r="H16" t="s">
        <v>75</v>
      </c>
      <c r="I16" t="s">
        <v>76</v>
      </c>
      <c r="J16" t="s">
        <v>46</v>
      </c>
      <c r="K16" t="s">
        <v>77</v>
      </c>
      <c r="L16" t="s">
        <v>48</v>
      </c>
      <c r="M16" t="s">
        <v>49</v>
      </c>
      <c r="N16" s="2" t="s">
        <v>40</v>
      </c>
      <c r="O16" s="2">
        <v>3000</v>
      </c>
      <c r="P16" s="2">
        <v>150</v>
      </c>
      <c r="Q16" s="2">
        <v>0</v>
      </c>
      <c r="R16" s="2">
        <v>0</v>
      </c>
      <c r="S16" s="2">
        <v>0</v>
      </c>
      <c r="T16" s="2">
        <v>150</v>
      </c>
      <c r="U16" s="2">
        <v>3150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</row>
    <row r="17" spans="1:28" x14ac:dyDescent="0.25">
      <c r="A17" t="s">
        <v>107</v>
      </c>
      <c r="B17" t="s">
        <v>118</v>
      </c>
      <c r="C17" t="s">
        <v>40</v>
      </c>
      <c r="D17" s="1" t="s">
        <v>112</v>
      </c>
      <c r="E17" t="s">
        <v>40</v>
      </c>
      <c r="F17" s="1" t="s">
        <v>40</v>
      </c>
      <c r="G17" t="s">
        <v>43</v>
      </c>
      <c r="H17" t="s">
        <v>75</v>
      </c>
      <c r="I17" t="s">
        <v>76</v>
      </c>
      <c r="J17" t="s">
        <v>46</v>
      </c>
      <c r="K17" t="s">
        <v>77</v>
      </c>
      <c r="L17" t="s">
        <v>48</v>
      </c>
      <c r="M17" t="s">
        <v>49</v>
      </c>
      <c r="N17" s="2" t="s">
        <v>40</v>
      </c>
      <c r="O17" s="2">
        <v>4000</v>
      </c>
      <c r="P17" s="2">
        <v>200</v>
      </c>
      <c r="Q17" s="2">
        <v>0</v>
      </c>
      <c r="R17" s="2">
        <v>0</v>
      </c>
      <c r="S17" s="2">
        <v>0</v>
      </c>
      <c r="T17" s="2">
        <v>200</v>
      </c>
      <c r="U17" s="2">
        <v>4200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</row>
    <row r="18" spans="1:28" x14ac:dyDescent="0.25">
      <c r="A18" t="s">
        <v>110</v>
      </c>
      <c r="B18" t="s">
        <v>111</v>
      </c>
      <c r="C18" t="s">
        <v>40</v>
      </c>
      <c r="D18" s="1" t="s">
        <v>112</v>
      </c>
      <c r="E18" t="s">
        <v>40</v>
      </c>
      <c r="F18" s="1" t="s">
        <v>40</v>
      </c>
      <c r="G18" t="s">
        <v>43</v>
      </c>
      <c r="H18" t="s">
        <v>75</v>
      </c>
      <c r="I18" t="s">
        <v>76</v>
      </c>
      <c r="J18" t="s">
        <v>46</v>
      </c>
      <c r="K18" t="s">
        <v>77</v>
      </c>
      <c r="L18" t="s">
        <v>48</v>
      </c>
      <c r="M18" t="s">
        <v>49</v>
      </c>
      <c r="N18" s="2" t="s">
        <v>40</v>
      </c>
      <c r="O18" s="2">
        <v>2800</v>
      </c>
      <c r="P18" s="2">
        <v>140</v>
      </c>
      <c r="Q18" s="2">
        <v>0</v>
      </c>
      <c r="R18" s="2">
        <v>0</v>
      </c>
      <c r="S18" s="2">
        <v>0</v>
      </c>
      <c r="T18" s="2">
        <v>140</v>
      </c>
      <c r="U18" s="2">
        <v>2940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</row>
    <row r="19" spans="1:28" x14ac:dyDescent="0.25">
      <c r="A19" t="s">
        <v>113</v>
      </c>
      <c r="B19" t="s">
        <v>116</v>
      </c>
      <c r="C19" t="s">
        <v>40</v>
      </c>
      <c r="D19" s="1" t="s">
        <v>112</v>
      </c>
      <c r="E19" t="s">
        <v>40</v>
      </c>
      <c r="F19" s="1" t="s">
        <v>40</v>
      </c>
      <c r="G19" t="s">
        <v>43</v>
      </c>
      <c r="H19" t="s">
        <v>75</v>
      </c>
      <c r="I19" t="s">
        <v>76</v>
      </c>
      <c r="J19" t="s">
        <v>46</v>
      </c>
      <c r="K19" t="s">
        <v>77</v>
      </c>
      <c r="L19" t="s">
        <v>48</v>
      </c>
      <c r="M19" t="s">
        <v>49</v>
      </c>
      <c r="N19" s="2" t="s">
        <v>40</v>
      </c>
      <c r="O19" s="2">
        <v>2500</v>
      </c>
      <c r="P19" s="2">
        <v>125</v>
      </c>
      <c r="Q19" s="2">
        <v>0</v>
      </c>
      <c r="R19" s="2">
        <v>0</v>
      </c>
      <c r="S19" s="2">
        <v>0</v>
      </c>
      <c r="T19" s="2">
        <v>125</v>
      </c>
      <c r="U19" s="2">
        <v>2625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</row>
    <row r="20" spans="1:28" x14ac:dyDescent="0.25">
      <c r="A20" t="s">
        <v>115</v>
      </c>
      <c r="B20" t="s">
        <v>114</v>
      </c>
      <c r="C20" t="s">
        <v>40</v>
      </c>
      <c r="D20" s="1" t="s">
        <v>112</v>
      </c>
      <c r="E20" t="s">
        <v>40</v>
      </c>
      <c r="F20" s="1" t="s">
        <v>40</v>
      </c>
      <c r="G20" t="s">
        <v>43</v>
      </c>
      <c r="H20" t="s">
        <v>75</v>
      </c>
      <c r="I20" t="s">
        <v>76</v>
      </c>
      <c r="J20" t="s">
        <v>46</v>
      </c>
      <c r="K20" t="s">
        <v>77</v>
      </c>
      <c r="L20" t="s">
        <v>48</v>
      </c>
      <c r="M20" t="s">
        <v>49</v>
      </c>
      <c r="N20" s="2" t="s">
        <v>40</v>
      </c>
      <c r="O20" s="2">
        <v>3800</v>
      </c>
      <c r="P20" s="2">
        <v>190</v>
      </c>
      <c r="Q20" s="2">
        <v>0</v>
      </c>
      <c r="R20" s="2">
        <v>0</v>
      </c>
      <c r="S20" s="2">
        <v>0</v>
      </c>
      <c r="T20" s="2">
        <v>190</v>
      </c>
      <c r="U20" s="2">
        <v>3990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</row>
    <row r="21" spans="1:28" x14ac:dyDescent="0.25">
      <c r="A21" t="s">
        <v>117</v>
      </c>
      <c r="B21" t="s">
        <v>125</v>
      </c>
      <c r="C21" t="s">
        <v>40</v>
      </c>
      <c r="D21" s="1" t="s">
        <v>121</v>
      </c>
      <c r="E21" t="s">
        <v>40</v>
      </c>
      <c r="F21" s="1" t="s">
        <v>40</v>
      </c>
      <c r="G21" t="s">
        <v>43</v>
      </c>
      <c r="H21" t="s">
        <v>75</v>
      </c>
      <c r="I21" t="s">
        <v>76</v>
      </c>
      <c r="J21" t="s">
        <v>46</v>
      </c>
      <c r="K21" t="s">
        <v>77</v>
      </c>
      <c r="L21" t="s">
        <v>48</v>
      </c>
      <c r="M21" t="s">
        <v>49</v>
      </c>
      <c r="N21" s="2" t="s">
        <v>40</v>
      </c>
      <c r="O21" s="2">
        <v>1500</v>
      </c>
      <c r="P21" s="2">
        <v>75</v>
      </c>
      <c r="Q21" s="2">
        <v>0</v>
      </c>
      <c r="R21" s="2">
        <v>0</v>
      </c>
      <c r="S21" s="2">
        <v>0</v>
      </c>
      <c r="T21" s="2">
        <v>75</v>
      </c>
      <c r="U21" s="2">
        <v>1575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</row>
    <row r="22" spans="1:28" x14ac:dyDescent="0.25">
      <c r="A22" t="s">
        <v>119</v>
      </c>
      <c r="B22" t="s">
        <v>120</v>
      </c>
      <c r="C22" t="s">
        <v>40</v>
      </c>
      <c r="D22" s="1" t="s">
        <v>121</v>
      </c>
      <c r="E22" t="s">
        <v>40</v>
      </c>
      <c r="F22" s="1" t="s">
        <v>40</v>
      </c>
      <c r="G22" t="s">
        <v>43</v>
      </c>
      <c r="H22" t="s">
        <v>75</v>
      </c>
      <c r="I22" t="s">
        <v>76</v>
      </c>
      <c r="J22" t="s">
        <v>46</v>
      </c>
      <c r="K22" t="s">
        <v>77</v>
      </c>
      <c r="L22" t="s">
        <v>48</v>
      </c>
      <c r="M22" t="s">
        <v>49</v>
      </c>
      <c r="N22" s="2" t="s">
        <v>40</v>
      </c>
      <c r="O22" s="2">
        <v>3000</v>
      </c>
      <c r="P22" s="2">
        <v>150</v>
      </c>
      <c r="Q22" s="2">
        <v>0</v>
      </c>
      <c r="R22" s="2">
        <v>0</v>
      </c>
      <c r="S22" s="2">
        <v>0</v>
      </c>
      <c r="T22" s="2">
        <v>150</v>
      </c>
      <c r="U22" s="2">
        <v>3150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</row>
    <row r="23" spans="1:28" x14ac:dyDescent="0.25">
      <c r="A23" t="s">
        <v>122</v>
      </c>
      <c r="B23" t="s">
        <v>127</v>
      </c>
      <c r="C23" t="s">
        <v>40</v>
      </c>
      <c r="D23" s="1" t="s">
        <v>121</v>
      </c>
      <c r="E23" t="s">
        <v>40</v>
      </c>
      <c r="F23" s="1" t="s">
        <v>40</v>
      </c>
      <c r="G23" t="s">
        <v>43</v>
      </c>
      <c r="H23" t="s">
        <v>75</v>
      </c>
      <c r="I23" t="s">
        <v>76</v>
      </c>
      <c r="J23" t="s">
        <v>46</v>
      </c>
      <c r="K23" t="s">
        <v>77</v>
      </c>
      <c r="L23" t="s">
        <v>48</v>
      </c>
      <c r="M23" t="s">
        <v>49</v>
      </c>
      <c r="N23" s="2" t="s">
        <v>40</v>
      </c>
      <c r="O23" s="2">
        <v>1800</v>
      </c>
      <c r="P23" s="2">
        <v>90</v>
      </c>
      <c r="Q23" s="2">
        <v>0</v>
      </c>
      <c r="R23" s="2">
        <v>0</v>
      </c>
      <c r="S23" s="2">
        <v>0</v>
      </c>
      <c r="T23" s="2">
        <v>90</v>
      </c>
      <c r="U23" s="2">
        <v>1890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</row>
    <row r="24" spans="1:28" x14ac:dyDescent="0.25">
      <c r="A24" t="s">
        <v>124</v>
      </c>
      <c r="B24" t="s">
        <v>123</v>
      </c>
      <c r="C24" t="s">
        <v>40</v>
      </c>
      <c r="D24" s="1" t="s">
        <v>121</v>
      </c>
      <c r="E24" t="s">
        <v>40</v>
      </c>
      <c r="F24" s="1" t="s">
        <v>40</v>
      </c>
      <c r="G24" t="s">
        <v>43</v>
      </c>
      <c r="H24" t="s">
        <v>75</v>
      </c>
      <c r="I24" t="s">
        <v>76</v>
      </c>
      <c r="J24" t="s">
        <v>46</v>
      </c>
      <c r="K24" t="s">
        <v>77</v>
      </c>
      <c r="L24" t="s">
        <v>48</v>
      </c>
      <c r="M24" t="s">
        <v>49</v>
      </c>
      <c r="N24" s="2" t="s">
        <v>40</v>
      </c>
      <c r="O24" s="2">
        <v>3000</v>
      </c>
      <c r="P24" s="2">
        <v>150</v>
      </c>
      <c r="Q24" s="2">
        <v>0</v>
      </c>
      <c r="R24" s="2">
        <v>0</v>
      </c>
      <c r="S24" s="2">
        <v>0</v>
      </c>
      <c r="T24" s="2">
        <v>150</v>
      </c>
      <c r="U24" s="2">
        <v>3150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</row>
    <row r="25" spans="1:28" x14ac:dyDescent="0.25">
      <c r="A25" t="s">
        <v>126</v>
      </c>
      <c r="B25" t="s">
        <v>128</v>
      </c>
      <c r="C25" t="s">
        <v>40</v>
      </c>
      <c r="D25" s="1" t="s">
        <v>129</v>
      </c>
      <c r="E25" t="s">
        <v>40</v>
      </c>
      <c r="F25" s="1" t="s">
        <v>40</v>
      </c>
      <c r="G25" t="s">
        <v>43</v>
      </c>
      <c r="H25" t="s">
        <v>75</v>
      </c>
      <c r="I25" t="s">
        <v>76</v>
      </c>
      <c r="J25" t="s">
        <v>46</v>
      </c>
      <c r="K25" t="s">
        <v>77</v>
      </c>
      <c r="L25" t="s">
        <v>48</v>
      </c>
      <c r="M25" t="s">
        <v>49</v>
      </c>
      <c r="N25" s="2" t="s">
        <v>40</v>
      </c>
      <c r="O25" s="2">
        <v>2800</v>
      </c>
      <c r="P25" s="2">
        <v>140</v>
      </c>
      <c r="Q25" s="2">
        <v>0</v>
      </c>
      <c r="R25" s="2">
        <v>0</v>
      </c>
      <c r="S25" s="2">
        <v>0</v>
      </c>
      <c r="T25" s="2">
        <v>140</v>
      </c>
      <c r="U25" s="2">
        <v>2940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</row>
    <row r="26" spans="1:28" x14ac:dyDescent="0.25">
      <c r="A26" t="s">
        <v>93</v>
      </c>
      <c r="B26" t="s">
        <v>131</v>
      </c>
      <c r="C26" t="s">
        <v>40</v>
      </c>
      <c r="D26" s="1" t="s">
        <v>132</v>
      </c>
      <c r="E26" t="s">
        <v>40</v>
      </c>
      <c r="F26" s="1" t="s">
        <v>40</v>
      </c>
      <c r="G26" t="s">
        <v>43</v>
      </c>
      <c r="H26" t="s">
        <v>75</v>
      </c>
      <c r="I26" t="s">
        <v>76</v>
      </c>
      <c r="J26" t="s">
        <v>46</v>
      </c>
      <c r="K26" t="s">
        <v>77</v>
      </c>
      <c r="L26" t="s">
        <v>48</v>
      </c>
      <c r="M26" t="s">
        <v>49</v>
      </c>
      <c r="N26" s="2" t="s">
        <v>40</v>
      </c>
      <c r="O26" s="2">
        <v>2800</v>
      </c>
      <c r="P26" s="2">
        <v>140</v>
      </c>
      <c r="Q26" s="2">
        <v>0</v>
      </c>
      <c r="R26" s="2">
        <v>0</v>
      </c>
      <c r="S26" s="2">
        <v>0</v>
      </c>
      <c r="T26" s="2">
        <v>140</v>
      </c>
      <c r="U26" s="2">
        <v>2940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</row>
    <row r="27" spans="1:28" x14ac:dyDescent="0.25">
      <c r="A27" t="s">
        <v>130</v>
      </c>
      <c r="B27" t="s">
        <v>134</v>
      </c>
      <c r="C27" t="s">
        <v>40</v>
      </c>
      <c r="D27" s="1" t="s">
        <v>132</v>
      </c>
      <c r="E27" t="s">
        <v>40</v>
      </c>
      <c r="F27" s="1" t="s">
        <v>40</v>
      </c>
      <c r="G27" t="s">
        <v>43</v>
      </c>
      <c r="H27" t="s">
        <v>75</v>
      </c>
      <c r="I27" t="s">
        <v>76</v>
      </c>
      <c r="J27" t="s">
        <v>46</v>
      </c>
      <c r="K27" t="s">
        <v>77</v>
      </c>
      <c r="L27" t="s">
        <v>48</v>
      </c>
      <c r="M27" t="s">
        <v>49</v>
      </c>
      <c r="N27" s="2" t="s">
        <v>40</v>
      </c>
      <c r="O27" s="2">
        <v>5600</v>
      </c>
      <c r="P27" s="2">
        <v>280</v>
      </c>
      <c r="Q27" s="2">
        <v>0</v>
      </c>
      <c r="R27" s="2">
        <v>0</v>
      </c>
      <c r="S27" s="2">
        <v>0</v>
      </c>
      <c r="T27" s="2">
        <v>280</v>
      </c>
      <c r="U27" s="2">
        <v>5880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</row>
    <row r="28" spans="1:28" x14ac:dyDescent="0.25">
      <c r="A28" t="s">
        <v>133</v>
      </c>
      <c r="B28" t="s">
        <v>136</v>
      </c>
      <c r="C28" t="s">
        <v>40</v>
      </c>
      <c r="D28" s="1" t="s">
        <v>132</v>
      </c>
      <c r="E28" t="s">
        <v>40</v>
      </c>
      <c r="F28" s="1" t="s">
        <v>40</v>
      </c>
      <c r="G28" t="s">
        <v>43</v>
      </c>
      <c r="H28" t="s">
        <v>75</v>
      </c>
      <c r="I28" t="s">
        <v>76</v>
      </c>
      <c r="J28" t="s">
        <v>46</v>
      </c>
      <c r="K28" t="s">
        <v>77</v>
      </c>
      <c r="L28" t="s">
        <v>48</v>
      </c>
      <c r="M28" t="s">
        <v>49</v>
      </c>
      <c r="N28" s="2" t="s">
        <v>40</v>
      </c>
      <c r="O28" s="2">
        <v>6300</v>
      </c>
      <c r="P28" s="2">
        <v>315</v>
      </c>
      <c r="Q28" s="2">
        <v>0</v>
      </c>
      <c r="R28" s="2">
        <v>0</v>
      </c>
      <c r="S28" s="2">
        <v>0</v>
      </c>
      <c r="T28" s="2">
        <v>315</v>
      </c>
      <c r="U28" s="2">
        <v>6615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</row>
    <row r="29" spans="1:28" x14ac:dyDescent="0.25">
      <c r="A29" t="s">
        <v>81</v>
      </c>
      <c r="B29" t="s">
        <v>137</v>
      </c>
      <c r="C29" t="s">
        <v>40</v>
      </c>
      <c r="D29" s="1" t="s">
        <v>138</v>
      </c>
      <c r="E29" t="s">
        <v>40</v>
      </c>
      <c r="F29" s="1" t="s">
        <v>40</v>
      </c>
      <c r="G29" t="s">
        <v>43</v>
      </c>
      <c r="H29" t="s">
        <v>75</v>
      </c>
      <c r="I29" t="s">
        <v>76</v>
      </c>
      <c r="J29" t="s">
        <v>46</v>
      </c>
      <c r="K29" t="s">
        <v>77</v>
      </c>
      <c r="L29" t="s">
        <v>48</v>
      </c>
      <c r="M29" t="s">
        <v>49</v>
      </c>
      <c r="N29" s="2" t="s">
        <v>40</v>
      </c>
      <c r="O29" s="2">
        <v>5000</v>
      </c>
      <c r="P29" s="2">
        <v>250</v>
      </c>
      <c r="Q29" s="2">
        <v>0</v>
      </c>
      <c r="R29" s="2">
        <v>0</v>
      </c>
      <c r="S29" s="2">
        <v>0</v>
      </c>
      <c r="T29" s="2">
        <v>250</v>
      </c>
      <c r="U29" s="2">
        <v>5250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</row>
    <row r="30" spans="1:28" x14ac:dyDescent="0.25">
      <c r="A30" t="s">
        <v>83</v>
      </c>
      <c r="B30" t="s">
        <v>141</v>
      </c>
      <c r="C30" t="s">
        <v>40</v>
      </c>
      <c r="D30" s="1" t="s">
        <v>138</v>
      </c>
      <c r="E30" t="s">
        <v>40</v>
      </c>
      <c r="F30" s="1" t="s">
        <v>40</v>
      </c>
      <c r="G30" t="s">
        <v>43</v>
      </c>
      <c r="H30" t="s">
        <v>75</v>
      </c>
      <c r="I30" t="s">
        <v>76</v>
      </c>
      <c r="J30" t="s">
        <v>46</v>
      </c>
      <c r="K30" t="s">
        <v>77</v>
      </c>
      <c r="L30" t="s">
        <v>48</v>
      </c>
      <c r="M30" t="s">
        <v>49</v>
      </c>
      <c r="N30" s="2" t="s">
        <v>40</v>
      </c>
      <c r="O30" s="2">
        <v>2500</v>
      </c>
      <c r="P30" s="2">
        <v>125</v>
      </c>
      <c r="Q30" s="2">
        <v>0</v>
      </c>
      <c r="R30" s="2">
        <v>0</v>
      </c>
      <c r="S30" s="2">
        <v>0</v>
      </c>
      <c r="T30" s="2">
        <v>125</v>
      </c>
      <c r="U30" s="2">
        <v>2625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</row>
    <row r="31" spans="1:28" x14ac:dyDescent="0.25">
      <c r="A31" t="s">
        <v>135</v>
      </c>
      <c r="B31" t="s">
        <v>140</v>
      </c>
      <c r="C31" t="s">
        <v>40</v>
      </c>
      <c r="D31" s="1" t="s">
        <v>91</v>
      </c>
      <c r="E31" t="s">
        <v>40</v>
      </c>
      <c r="F31" s="1" t="s">
        <v>40</v>
      </c>
      <c r="G31" t="s">
        <v>43</v>
      </c>
      <c r="H31" t="s">
        <v>95</v>
      </c>
      <c r="I31" t="s">
        <v>40</v>
      </c>
      <c r="J31" t="s">
        <v>46</v>
      </c>
      <c r="K31" t="s">
        <v>47</v>
      </c>
      <c r="L31" t="s">
        <v>48</v>
      </c>
      <c r="M31" t="s">
        <v>49</v>
      </c>
      <c r="N31" s="2" t="s">
        <v>40</v>
      </c>
      <c r="O31" s="2">
        <v>37142.9</v>
      </c>
      <c r="P31" s="2">
        <v>0</v>
      </c>
      <c r="Q31" s="2">
        <v>928.57</v>
      </c>
      <c r="R31" s="2">
        <v>928.57</v>
      </c>
      <c r="S31" s="2">
        <v>0</v>
      </c>
      <c r="T31" s="2">
        <v>1857.14</v>
      </c>
      <c r="U31" s="2">
        <v>39000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</row>
    <row r="32" spans="1:28" x14ac:dyDescent="0.25">
      <c r="A32" t="s">
        <v>73</v>
      </c>
      <c r="B32" t="s">
        <v>142</v>
      </c>
      <c r="C32" t="s">
        <v>40</v>
      </c>
      <c r="D32" s="1" t="s">
        <v>143</v>
      </c>
      <c r="E32" t="s">
        <v>40</v>
      </c>
      <c r="F32" s="1" t="s">
        <v>40</v>
      </c>
      <c r="G32" t="s">
        <v>43</v>
      </c>
      <c r="H32" t="s">
        <v>75</v>
      </c>
      <c r="I32" t="s">
        <v>76</v>
      </c>
      <c r="J32" t="s">
        <v>46</v>
      </c>
      <c r="K32" t="s">
        <v>77</v>
      </c>
      <c r="L32" t="s">
        <v>48</v>
      </c>
      <c r="M32" t="s">
        <v>49</v>
      </c>
      <c r="N32" s="2" t="s">
        <v>40</v>
      </c>
      <c r="O32" s="2">
        <v>3800</v>
      </c>
      <c r="P32" s="2">
        <v>190</v>
      </c>
      <c r="Q32" s="2">
        <v>0</v>
      </c>
      <c r="R32" s="2">
        <v>0</v>
      </c>
      <c r="S32" s="2">
        <v>0</v>
      </c>
      <c r="T32" s="2">
        <v>190</v>
      </c>
      <c r="U32" s="2">
        <v>3990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</row>
    <row r="33" spans="1:28" x14ac:dyDescent="0.25">
      <c r="A33" t="s">
        <v>79</v>
      </c>
      <c r="B33" t="s">
        <v>144</v>
      </c>
      <c r="C33" t="s">
        <v>40</v>
      </c>
      <c r="D33" s="1" t="s">
        <v>143</v>
      </c>
      <c r="E33" t="s">
        <v>40</v>
      </c>
      <c r="F33" s="1" t="s">
        <v>40</v>
      </c>
      <c r="G33" t="s">
        <v>43</v>
      </c>
      <c r="H33" t="s">
        <v>75</v>
      </c>
      <c r="I33" t="s">
        <v>76</v>
      </c>
      <c r="J33" t="s">
        <v>46</v>
      </c>
      <c r="K33" t="s">
        <v>77</v>
      </c>
      <c r="L33" t="s">
        <v>48</v>
      </c>
      <c r="M33" t="s">
        <v>49</v>
      </c>
      <c r="N33" s="2" t="s">
        <v>40</v>
      </c>
      <c r="O33" s="2">
        <v>2500</v>
      </c>
      <c r="P33" s="2">
        <v>125</v>
      </c>
      <c r="Q33" s="2">
        <v>0</v>
      </c>
      <c r="R33" s="2">
        <v>0</v>
      </c>
      <c r="S33" s="2">
        <v>0</v>
      </c>
      <c r="T33" s="2">
        <v>125</v>
      </c>
      <c r="U33" s="2">
        <v>2625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</row>
    <row r="34" spans="1:28" x14ac:dyDescent="0.25">
      <c r="A34" t="s">
        <v>85</v>
      </c>
      <c r="B34" t="s">
        <v>153</v>
      </c>
      <c r="C34" t="s">
        <v>40</v>
      </c>
      <c r="D34" s="1" t="s">
        <v>154</v>
      </c>
      <c r="E34" t="s">
        <v>40</v>
      </c>
      <c r="F34" s="1" t="s">
        <v>40</v>
      </c>
      <c r="G34" t="s">
        <v>43</v>
      </c>
      <c r="H34" t="s">
        <v>75</v>
      </c>
      <c r="I34" t="s">
        <v>76</v>
      </c>
      <c r="J34" t="s">
        <v>46</v>
      </c>
      <c r="K34" t="s">
        <v>77</v>
      </c>
      <c r="L34" t="s">
        <v>48</v>
      </c>
      <c r="M34" t="s">
        <v>49</v>
      </c>
      <c r="N34" s="2" t="s">
        <v>40</v>
      </c>
      <c r="O34" s="2">
        <v>3800</v>
      </c>
      <c r="P34" s="2">
        <v>190</v>
      </c>
      <c r="Q34" s="2">
        <v>0</v>
      </c>
      <c r="R34" s="2">
        <v>0</v>
      </c>
      <c r="S34" s="2">
        <v>0</v>
      </c>
      <c r="T34" s="2">
        <v>190</v>
      </c>
      <c r="U34" s="2">
        <v>3990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</row>
    <row r="35" spans="1:28" x14ac:dyDescent="0.25">
      <c r="A35" t="s">
        <v>179</v>
      </c>
      <c r="B35" t="s">
        <v>148</v>
      </c>
      <c r="C35" t="s">
        <v>40</v>
      </c>
      <c r="D35" s="1" t="s">
        <v>149</v>
      </c>
      <c r="E35" t="s">
        <v>40</v>
      </c>
      <c r="F35" s="1" t="s">
        <v>40</v>
      </c>
      <c r="G35" t="s">
        <v>43</v>
      </c>
      <c r="H35" t="s">
        <v>75</v>
      </c>
      <c r="I35" t="s">
        <v>76</v>
      </c>
      <c r="J35" t="s">
        <v>46</v>
      </c>
      <c r="K35" t="s">
        <v>77</v>
      </c>
      <c r="L35" t="s">
        <v>48</v>
      </c>
      <c r="M35" t="s">
        <v>49</v>
      </c>
      <c r="N35" s="2" t="s">
        <v>40</v>
      </c>
      <c r="O35" s="2">
        <v>3500</v>
      </c>
      <c r="P35" s="2">
        <v>175</v>
      </c>
      <c r="Q35" s="2">
        <v>0</v>
      </c>
      <c r="R35" s="2">
        <v>0</v>
      </c>
      <c r="S35" s="2">
        <v>0</v>
      </c>
      <c r="T35" s="2">
        <v>175</v>
      </c>
      <c r="U35" s="2">
        <v>3675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</row>
    <row r="36" spans="1:28" x14ac:dyDescent="0.25">
      <c r="A36" t="s">
        <v>139</v>
      </c>
      <c r="B36" t="s">
        <v>146</v>
      </c>
      <c r="C36" t="s">
        <v>40</v>
      </c>
      <c r="D36" s="1" t="s">
        <v>147</v>
      </c>
      <c r="E36" t="s">
        <v>40</v>
      </c>
      <c r="F36" s="1" t="s">
        <v>40</v>
      </c>
      <c r="G36" t="s">
        <v>43</v>
      </c>
      <c r="H36" t="s">
        <v>75</v>
      </c>
      <c r="I36" t="s">
        <v>76</v>
      </c>
      <c r="J36" t="s">
        <v>46</v>
      </c>
      <c r="K36" t="s">
        <v>77</v>
      </c>
      <c r="L36" t="s">
        <v>48</v>
      </c>
      <c r="M36" t="s">
        <v>49</v>
      </c>
      <c r="N36" s="2" t="s">
        <v>40</v>
      </c>
      <c r="O36" s="2">
        <v>3800</v>
      </c>
      <c r="P36" s="2">
        <v>190</v>
      </c>
      <c r="Q36" s="2">
        <v>0</v>
      </c>
      <c r="R36" s="2">
        <v>0</v>
      </c>
      <c r="S36" s="2">
        <v>0</v>
      </c>
      <c r="T36" s="2">
        <v>190</v>
      </c>
      <c r="U36" s="2">
        <v>3990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</row>
    <row r="37" spans="1:28" x14ac:dyDescent="0.25">
      <c r="A37" t="s">
        <v>145</v>
      </c>
      <c r="B37" t="s">
        <v>151</v>
      </c>
      <c r="C37" t="s">
        <v>40</v>
      </c>
      <c r="D37" s="1" t="s">
        <v>147</v>
      </c>
      <c r="E37" t="s">
        <v>40</v>
      </c>
      <c r="F37" s="1" t="s">
        <v>40</v>
      </c>
      <c r="G37" t="s">
        <v>43</v>
      </c>
      <c r="H37" t="s">
        <v>75</v>
      </c>
      <c r="I37" t="s">
        <v>76</v>
      </c>
      <c r="J37" t="s">
        <v>46</v>
      </c>
      <c r="K37" t="s">
        <v>77</v>
      </c>
      <c r="L37" t="s">
        <v>48</v>
      </c>
      <c r="M37" t="s">
        <v>49</v>
      </c>
      <c r="N37" s="2" t="s">
        <v>40</v>
      </c>
      <c r="O37" s="2">
        <v>2500</v>
      </c>
      <c r="P37" s="2">
        <v>125</v>
      </c>
      <c r="Q37" s="2">
        <v>0</v>
      </c>
      <c r="R37" s="2">
        <v>0</v>
      </c>
      <c r="S37" s="2">
        <v>0</v>
      </c>
      <c r="T37" s="2">
        <v>125</v>
      </c>
      <c r="U37" s="2">
        <v>2625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</row>
    <row r="38" spans="1:28" x14ac:dyDescent="0.25">
      <c r="A38" t="s">
        <v>150</v>
      </c>
      <c r="B38" t="s">
        <v>156</v>
      </c>
      <c r="C38" t="s">
        <v>40</v>
      </c>
      <c r="D38" s="1" t="s">
        <v>147</v>
      </c>
      <c r="E38" t="s">
        <v>40</v>
      </c>
      <c r="F38" s="1" t="s">
        <v>40</v>
      </c>
      <c r="G38" t="s">
        <v>43</v>
      </c>
      <c r="H38" t="s">
        <v>75</v>
      </c>
      <c r="I38" t="s">
        <v>76</v>
      </c>
      <c r="J38" t="s">
        <v>46</v>
      </c>
      <c r="K38" t="s">
        <v>77</v>
      </c>
      <c r="L38" t="s">
        <v>48</v>
      </c>
      <c r="M38" t="s">
        <v>49</v>
      </c>
      <c r="N38" s="2" t="s">
        <v>40</v>
      </c>
      <c r="O38" s="2">
        <v>11150</v>
      </c>
      <c r="P38" s="2">
        <v>857.5</v>
      </c>
      <c r="Q38" s="2">
        <v>0</v>
      </c>
      <c r="R38" s="2">
        <v>0</v>
      </c>
      <c r="S38" s="2">
        <v>0</v>
      </c>
      <c r="T38" s="2">
        <v>707.5</v>
      </c>
      <c r="U38" s="2">
        <v>18008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</row>
    <row r="39" spans="1:28" x14ac:dyDescent="0.25">
      <c r="A39" t="s">
        <v>155</v>
      </c>
      <c r="B39" t="s">
        <v>158</v>
      </c>
      <c r="C39" t="s">
        <v>40</v>
      </c>
      <c r="D39" s="1" t="s">
        <v>159</v>
      </c>
      <c r="E39" t="s">
        <v>40</v>
      </c>
      <c r="F39" s="1" t="s">
        <v>40</v>
      </c>
      <c r="G39" t="s">
        <v>43</v>
      </c>
      <c r="H39" t="s">
        <v>75</v>
      </c>
      <c r="I39" t="s">
        <v>76</v>
      </c>
      <c r="J39" t="s">
        <v>46</v>
      </c>
      <c r="K39" t="s">
        <v>77</v>
      </c>
      <c r="L39" t="s">
        <v>48</v>
      </c>
      <c r="M39" t="s">
        <v>49</v>
      </c>
      <c r="N39" s="2" t="s">
        <v>40</v>
      </c>
      <c r="O39" s="2">
        <v>3500</v>
      </c>
      <c r="P39" s="2">
        <v>175</v>
      </c>
      <c r="Q39" s="2">
        <v>0</v>
      </c>
      <c r="R39" s="2">
        <v>0</v>
      </c>
      <c r="S39" s="2">
        <v>0</v>
      </c>
      <c r="T39" s="2">
        <v>175</v>
      </c>
      <c r="U39" s="2">
        <v>3675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</row>
    <row r="40" spans="1:28" x14ac:dyDescent="0.25">
      <c r="A40" t="s">
        <v>157</v>
      </c>
      <c r="B40" t="s">
        <v>161</v>
      </c>
      <c r="C40" t="s">
        <v>40</v>
      </c>
      <c r="D40" s="1" t="s">
        <v>159</v>
      </c>
      <c r="E40" t="s">
        <v>40</v>
      </c>
      <c r="F40" s="1" t="s">
        <v>40</v>
      </c>
      <c r="G40" t="s">
        <v>43</v>
      </c>
      <c r="H40" t="s">
        <v>75</v>
      </c>
      <c r="I40" t="s">
        <v>76</v>
      </c>
      <c r="J40" t="s">
        <v>46</v>
      </c>
      <c r="K40" t="s">
        <v>77</v>
      </c>
      <c r="L40" t="s">
        <v>48</v>
      </c>
      <c r="M40" t="s">
        <v>49</v>
      </c>
      <c r="N40" s="2" t="s">
        <v>40</v>
      </c>
      <c r="O40" s="2">
        <v>2000</v>
      </c>
      <c r="P40" s="2">
        <v>100</v>
      </c>
      <c r="Q40" s="2">
        <v>0</v>
      </c>
      <c r="R40" s="2">
        <v>0</v>
      </c>
      <c r="S40" s="2">
        <v>0</v>
      </c>
      <c r="T40" s="2">
        <v>100</v>
      </c>
      <c r="U40" s="2">
        <v>2100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</row>
    <row r="41" spans="1:28" x14ac:dyDescent="0.25">
      <c r="A41" t="s">
        <v>160</v>
      </c>
      <c r="B41" t="s">
        <v>166</v>
      </c>
      <c r="C41" t="s">
        <v>40</v>
      </c>
      <c r="D41" s="1" t="s">
        <v>164</v>
      </c>
      <c r="E41" t="s">
        <v>40</v>
      </c>
      <c r="F41" s="1" t="s">
        <v>40</v>
      </c>
      <c r="G41" t="s">
        <v>43</v>
      </c>
      <c r="H41" t="s">
        <v>75</v>
      </c>
      <c r="I41" t="s">
        <v>76</v>
      </c>
      <c r="J41" t="s">
        <v>46</v>
      </c>
      <c r="K41" t="s">
        <v>77</v>
      </c>
      <c r="L41" t="s">
        <v>48</v>
      </c>
      <c r="M41" t="s">
        <v>49</v>
      </c>
      <c r="N41" s="2" t="s">
        <v>40</v>
      </c>
      <c r="O41" s="2">
        <v>1500</v>
      </c>
      <c r="P41" s="2">
        <v>75</v>
      </c>
      <c r="Q41" s="2">
        <v>0</v>
      </c>
      <c r="R41" s="2">
        <v>0</v>
      </c>
      <c r="S41" s="2">
        <v>0</v>
      </c>
      <c r="T41" s="2">
        <v>75</v>
      </c>
      <c r="U41" s="2">
        <v>1575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</row>
    <row r="42" spans="1:28" x14ac:dyDescent="0.25">
      <c r="A42" t="s">
        <v>162</v>
      </c>
      <c r="B42" t="s">
        <v>168</v>
      </c>
      <c r="C42" t="s">
        <v>40</v>
      </c>
      <c r="D42" s="1" t="s">
        <v>164</v>
      </c>
      <c r="E42" t="s">
        <v>40</v>
      </c>
      <c r="F42" s="1" t="s">
        <v>40</v>
      </c>
      <c r="G42" t="s">
        <v>43</v>
      </c>
      <c r="H42" t="s">
        <v>75</v>
      </c>
      <c r="I42" t="s">
        <v>76</v>
      </c>
      <c r="J42" t="s">
        <v>46</v>
      </c>
      <c r="K42" t="s">
        <v>77</v>
      </c>
      <c r="L42" t="s">
        <v>48</v>
      </c>
      <c r="M42" t="s">
        <v>49</v>
      </c>
      <c r="N42" s="2" t="s">
        <v>40</v>
      </c>
      <c r="O42" s="2">
        <v>2500</v>
      </c>
      <c r="P42" s="2">
        <v>125</v>
      </c>
      <c r="Q42" s="2">
        <v>0</v>
      </c>
      <c r="R42" s="2">
        <v>0</v>
      </c>
      <c r="S42" s="2">
        <v>0</v>
      </c>
      <c r="T42" s="2">
        <v>125</v>
      </c>
      <c r="U42" s="2">
        <v>2625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</row>
    <row r="43" spans="1:28" x14ac:dyDescent="0.25">
      <c r="A43" t="s">
        <v>165</v>
      </c>
      <c r="B43" t="s">
        <v>163</v>
      </c>
      <c r="C43" t="s">
        <v>40</v>
      </c>
      <c r="D43" s="1" t="s">
        <v>164</v>
      </c>
      <c r="E43" t="s">
        <v>40</v>
      </c>
      <c r="F43" s="1" t="s">
        <v>40</v>
      </c>
      <c r="G43" t="s">
        <v>43</v>
      </c>
      <c r="H43" t="s">
        <v>75</v>
      </c>
      <c r="I43" t="s">
        <v>76</v>
      </c>
      <c r="J43" t="s">
        <v>46</v>
      </c>
      <c r="K43" t="s">
        <v>77</v>
      </c>
      <c r="L43" t="s">
        <v>48</v>
      </c>
      <c r="M43" t="s">
        <v>49</v>
      </c>
      <c r="N43" s="2" t="s">
        <v>40</v>
      </c>
      <c r="O43" s="2">
        <v>1500</v>
      </c>
      <c r="P43" s="2">
        <v>75</v>
      </c>
      <c r="Q43" s="2">
        <v>0</v>
      </c>
      <c r="R43" s="2">
        <v>0</v>
      </c>
      <c r="S43" s="2">
        <v>0</v>
      </c>
      <c r="T43" s="2">
        <v>75</v>
      </c>
      <c r="U43" s="2">
        <v>1575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</row>
    <row r="44" spans="1:28" x14ac:dyDescent="0.25">
      <c r="A44" t="s">
        <v>167</v>
      </c>
      <c r="B44" t="s">
        <v>170</v>
      </c>
      <c r="C44" t="s">
        <v>40</v>
      </c>
      <c r="D44" s="1" t="s">
        <v>171</v>
      </c>
      <c r="E44" t="s">
        <v>40</v>
      </c>
      <c r="F44" s="1" t="s">
        <v>40</v>
      </c>
      <c r="G44" t="s">
        <v>43</v>
      </c>
      <c r="H44" t="s">
        <v>75</v>
      </c>
      <c r="I44" t="s">
        <v>76</v>
      </c>
      <c r="J44" t="s">
        <v>46</v>
      </c>
      <c r="K44" t="s">
        <v>77</v>
      </c>
      <c r="L44" t="s">
        <v>48</v>
      </c>
      <c r="M44" t="s">
        <v>49</v>
      </c>
      <c r="N44" s="2" t="s">
        <v>40</v>
      </c>
      <c r="O44" s="2">
        <v>2500</v>
      </c>
      <c r="P44" s="2">
        <v>125</v>
      </c>
      <c r="Q44" s="2">
        <v>0</v>
      </c>
      <c r="R44" s="2">
        <v>0</v>
      </c>
      <c r="S44" s="2">
        <v>0</v>
      </c>
      <c r="T44" s="2">
        <v>125</v>
      </c>
      <c r="U44" s="2">
        <v>2625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</row>
    <row r="45" spans="1:28" x14ac:dyDescent="0.25">
      <c r="A45" t="s">
        <v>169</v>
      </c>
      <c r="B45" t="s">
        <v>175</v>
      </c>
      <c r="C45" t="s">
        <v>40</v>
      </c>
      <c r="D45" s="1" t="s">
        <v>171</v>
      </c>
      <c r="E45" t="s">
        <v>40</v>
      </c>
      <c r="F45" s="1" t="s">
        <v>40</v>
      </c>
      <c r="G45" t="s">
        <v>43</v>
      </c>
      <c r="H45" t="s">
        <v>75</v>
      </c>
      <c r="I45" t="s">
        <v>76</v>
      </c>
      <c r="J45" t="s">
        <v>46</v>
      </c>
      <c r="K45" t="s">
        <v>77</v>
      </c>
      <c r="L45" t="s">
        <v>48</v>
      </c>
      <c r="M45" t="s">
        <v>49</v>
      </c>
      <c r="N45" s="2" t="s">
        <v>40</v>
      </c>
      <c r="O45" s="2">
        <v>2500</v>
      </c>
      <c r="P45" s="2">
        <v>125</v>
      </c>
      <c r="Q45" s="2">
        <v>0</v>
      </c>
      <c r="R45" s="2">
        <v>0</v>
      </c>
      <c r="S45" s="2">
        <v>0</v>
      </c>
      <c r="T45" s="2">
        <v>125</v>
      </c>
      <c r="U45" s="2">
        <v>2625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</row>
    <row r="46" spans="1:28" x14ac:dyDescent="0.25">
      <c r="A46" t="s">
        <v>172</v>
      </c>
      <c r="B46" t="s">
        <v>173</v>
      </c>
      <c r="C46" t="s">
        <v>40</v>
      </c>
      <c r="D46" s="1" t="s">
        <v>171</v>
      </c>
      <c r="E46" t="s">
        <v>40</v>
      </c>
      <c r="F46" s="1" t="s">
        <v>40</v>
      </c>
      <c r="G46" t="s">
        <v>43</v>
      </c>
      <c r="H46" t="s">
        <v>75</v>
      </c>
      <c r="I46" t="s">
        <v>76</v>
      </c>
      <c r="J46" t="s">
        <v>46</v>
      </c>
      <c r="K46" t="s">
        <v>77</v>
      </c>
      <c r="L46" t="s">
        <v>48</v>
      </c>
      <c r="M46" t="s">
        <v>49</v>
      </c>
      <c r="N46" s="2" t="s">
        <v>40</v>
      </c>
      <c r="O46" s="2">
        <v>3800</v>
      </c>
      <c r="P46" s="2">
        <v>190</v>
      </c>
      <c r="Q46" s="2">
        <v>0</v>
      </c>
      <c r="R46" s="2">
        <v>0</v>
      </c>
      <c r="S46" s="2">
        <v>0</v>
      </c>
      <c r="T46" s="2">
        <v>190</v>
      </c>
      <c r="U46" s="2">
        <v>3990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</row>
    <row r="47" spans="1:28" x14ac:dyDescent="0.25">
      <c r="A47" t="s">
        <v>174</v>
      </c>
      <c r="B47" t="s">
        <v>177</v>
      </c>
      <c r="C47" t="s">
        <v>40</v>
      </c>
      <c r="D47" s="1" t="s">
        <v>178</v>
      </c>
      <c r="E47" t="s">
        <v>40</v>
      </c>
      <c r="F47" s="1" t="s">
        <v>40</v>
      </c>
      <c r="G47" t="s">
        <v>43</v>
      </c>
      <c r="H47" t="s">
        <v>75</v>
      </c>
      <c r="I47" t="s">
        <v>76</v>
      </c>
      <c r="J47" t="s">
        <v>46</v>
      </c>
      <c r="K47" t="s">
        <v>77</v>
      </c>
      <c r="L47" t="s">
        <v>48</v>
      </c>
      <c r="M47" t="s">
        <v>49</v>
      </c>
      <c r="N47" s="2" t="s">
        <v>40</v>
      </c>
      <c r="O47" s="2">
        <v>2500</v>
      </c>
      <c r="P47" s="2">
        <v>125</v>
      </c>
      <c r="Q47" s="2">
        <v>0</v>
      </c>
      <c r="R47" s="2">
        <v>0</v>
      </c>
      <c r="S47" s="2">
        <v>0</v>
      </c>
      <c r="T47" s="2">
        <v>125</v>
      </c>
      <c r="U47" s="2">
        <v>2625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</row>
    <row r="48" spans="1:28" x14ac:dyDescent="0.25">
      <c r="A48" t="s">
        <v>176</v>
      </c>
      <c r="B48" t="s">
        <v>180</v>
      </c>
      <c r="C48" t="s">
        <v>40</v>
      </c>
      <c r="D48" s="1" t="s">
        <v>181</v>
      </c>
      <c r="E48" t="s">
        <v>40</v>
      </c>
      <c r="F48" s="1" t="s">
        <v>40</v>
      </c>
      <c r="G48" t="s">
        <v>43</v>
      </c>
      <c r="H48" t="s">
        <v>75</v>
      </c>
      <c r="I48" t="s">
        <v>76</v>
      </c>
      <c r="J48" t="s">
        <v>46</v>
      </c>
      <c r="K48" t="s">
        <v>77</v>
      </c>
      <c r="L48" t="s">
        <v>48</v>
      </c>
      <c r="M48" t="s">
        <v>49</v>
      </c>
      <c r="N48" s="2" t="s">
        <v>40</v>
      </c>
      <c r="O48" s="2">
        <v>2800</v>
      </c>
      <c r="P48" s="2">
        <v>140</v>
      </c>
      <c r="Q48" s="2">
        <v>0</v>
      </c>
      <c r="R48" s="2">
        <v>0</v>
      </c>
      <c r="S48" s="2">
        <v>0</v>
      </c>
      <c r="T48" s="2">
        <v>140</v>
      </c>
      <c r="U48" s="2">
        <v>2940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62"/>
  <sheetViews>
    <sheetView tabSelected="1" workbookViewId="0">
      <pane ySplit="2" topLeftCell="A41" activePane="bottomLeft" state="frozen"/>
      <selection pane="bottomLeft" activeCell="D4" sqref="D4"/>
    </sheetView>
  </sheetViews>
  <sheetFormatPr defaultRowHeight="15" x14ac:dyDescent="0.25"/>
  <cols>
    <col min="1" max="1" width="9.140625" customWidth="1"/>
    <col min="2" max="2" width="20.28515625" customWidth="1"/>
    <col min="3" max="3" width="9.140625" customWidth="1"/>
    <col min="4" max="4" width="12.5703125" style="1" customWidth="1"/>
    <col min="5" max="5" width="13.42578125" style="2" customWidth="1"/>
    <col min="6" max="6" width="19.5703125" customWidth="1"/>
    <col min="7" max="7" width="16.5703125" style="1" customWidth="1"/>
    <col min="8" max="8" width="9.140625" customWidth="1"/>
    <col min="9" max="9" width="30" customWidth="1"/>
    <col min="10" max="10" width="19.140625" customWidth="1"/>
    <col min="11" max="11" width="15.5703125" customWidth="1"/>
    <col min="12" max="12" width="12.28515625" customWidth="1"/>
    <col min="13" max="13" width="24.7109375" customWidth="1"/>
    <col min="14" max="14" width="15.28515625" customWidth="1"/>
    <col min="15" max="15" width="9.85546875" style="2" customWidth="1"/>
    <col min="16" max="16" width="18.85546875" style="2" customWidth="1"/>
    <col min="17" max="17" width="14.42578125" style="2" customWidth="1"/>
    <col min="18" max="18" width="11.5703125" style="2" customWidth="1"/>
    <col min="19" max="19" width="13.140625" style="2" customWidth="1"/>
    <col min="20" max="20" width="9.140625" style="2" customWidth="1"/>
    <col min="21" max="21" width="9.5703125" style="2" customWidth="1"/>
    <col min="22" max="22" width="18.28515625" customWidth="1"/>
    <col min="23" max="23" width="13.85546875" customWidth="1"/>
    <col min="24" max="24" width="16.140625" customWidth="1"/>
    <col min="25" max="25" width="19.85546875" customWidth="1"/>
    <col min="26" max="26" width="14.7109375" customWidth="1"/>
    <col min="27" max="27" width="9.140625" customWidth="1"/>
    <col min="28" max="28" width="23.42578125" customWidth="1"/>
    <col min="29" max="30" width="9.140625" customWidth="1"/>
    <col min="31" max="31" width="9.42578125" customWidth="1"/>
  </cols>
  <sheetData>
    <row r="1" spans="1:31" x14ac:dyDescent="0.25">
      <c r="A1" s="17" t="s">
        <v>265</v>
      </c>
      <c r="B1" s="18"/>
      <c r="C1" s="18"/>
    </row>
    <row r="2" spans="1:31" x14ac:dyDescent="0.25">
      <c r="A2" s="3" t="s">
        <v>1</v>
      </c>
      <c r="B2" s="3" t="s">
        <v>4</v>
      </c>
      <c r="C2" s="3" t="s">
        <v>5</v>
      </c>
      <c r="D2" s="4" t="s">
        <v>7</v>
      </c>
      <c r="E2" s="5" t="s">
        <v>24</v>
      </c>
      <c r="F2" s="3" t="s">
        <v>8</v>
      </c>
      <c r="G2" s="4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3" t="s">
        <v>25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6</v>
      </c>
      <c r="AD2" s="3" t="s">
        <v>34</v>
      </c>
      <c r="AE2" s="3" t="s">
        <v>35</v>
      </c>
    </row>
    <row r="3" spans="1:31" s="10" customFormat="1" x14ac:dyDescent="0.25">
      <c r="A3" s="10" t="s">
        <v>40</v>
      </c>
      <c r="B3" s="10" t="s">
        <v>183</v>
      </c>
      <c r="C3" s="10" t="s">
        <v>40</v>
      </c>
      <c r="D3" s="11" t="s">
        <v>184</v>
      </c>
      <c r="E3" s="12">
        <v>39000</v>
      </c>
      <c r="F3" s="10" t="s">
        <v>40</v>
      </c>
      <c r="G3" s="11" t="s">
        <v>40</v>
      </c>
      <c r="H3" s="10" t="s">
        <v>43</v>
      </c>
      <c r="I3" s="10" t="s">
        <v>185</v>
      </c>
      <c r="J3" s="10" t="s">
        <v>186</v>
      </c>
      <c r="K3" s="10" t="s">
        <v>46</v>
      </c>
      <c r="L3" s="10" t="s">
        <v>47</v>
      </c>
      <c r="M3" s="10" t="s">
        <v>48</v>
      </c>
      <c r="N3" s="10" t="s">
        <v>49</v>
      </c>
      <c r="O3" s="12" t="s">
        <v>40</v>
      </c>
      <c r="P3" s="12">
        <v>37142.9</v>
      </c>
      <c r="Q3" s="12">
        <v>0</v>
      </c>
      <c r="R3" s="12">
        <v>928.57</v>
      </c>
      <c r="S3" s="12">
        <v>928.57</v>
      </c>
      <c r="T3" s="12">
        <v>0</v>
      </c>
      <c r="U3" s="12">
        <v>1857.14</v>
      </c>
      <c r="V3" s="10" t="s">
        <v>49</v>
      </c>
      <c r="W3" s="10" t="s">
        <v>53</v>
      </c>
      <c r="X3" s="10" t="s">
        <v>188</v>
      </c>
      <c r="Y3" s="10" t="s">
        <v>129</v>
      </c>
      <c r="Z3" s="10" t="s">
        <v>56</v>
      </c>
      <c r="AA3" s="10" t="s">
        <v>40</v>
      </c>
      <c r="AB3" s="10" t="s">
        <v>57</v>
      </c>
      <c r="AC3" s="10" t="s">
        <v>40</v>
      </c>
      <c r="AD3" s="10" t="s">
        <v>40</v>
      </c>
      <c r="AE3" s="10" t="s">
        <v>40</v>
      </c>
    </row>
    <row r="4" spans="1:31" x14ac:dyDescent="0.25">
      <c r="A4" t="s">
        <v>38</v>
      </c>
      <c r="B4" t="s">
        <v>189</v>
      </c>
      <c r="C4" t="s">
        <v>40</v>
      </c>
      <c r="D4" s="1" t="s">
        <v>74</v>
      </c>
      <c r="E4" s="2">
        <v>2940</v>
      </c>
      <c r="F4" t="s">
        <v>40</v>
      </c>
      <c r="G4" s="1" t="s">
        <v>40</v>
      </c>
      <c r="H4" t="s">
        <v>43</v>
      </c>
      <c r="I4" t="s">
        <v>190</v>
      </c>
      <c r="J4" t="s">
        <v>76</v>
      </c>
      <c r="K4" t="s">
        <v>46</v>
      </c>
      <c r="L4" t="s">
        <v>77</v>
      </c>
      <c r="M4" t="s">
        <v>48</v>
      </c>
      <c r="N4" t="s">
        <v>49</v>
      </c>
      <c r="O4" s="2" t="s">
        <v>40</v>
      </c>
      <c r="P4" s="2">
        <v>2800</v>
      </c>
      <c r="Q4" s="2">
        <v>140</v>
      </c>
      <c r="R4" s="2">
        <v>0</v>
      </c>
      <c r="S4" s="2">
        <v>0</v>
      </c>
      <c r="T4" s="2">
        <v>0</v>
      </c>
      <c r="U4" s="2">
        <v>140</v>
      </c>
      <c r="V4" t="s">
        <v>49</v>
      </c>
      <c r="W4" t="s">
        <v>53</v>
      </c>
      <c r="X4" t="s">
        <v>54</v>
      </c>
      <c r="Y4" t="s">
        <v>191</v>
      </c>
      <c r="Z4" t="s">
        <v>56</v>
      </c>
      <c r="AA4" t="s">
        <v>40</v>
      </c>
      <c r="AB4" t="s">
        <v>57</v>
      </c>
      <c r="AC4" t="s">
        <v>40</v>
      </c>
      <c r="AD4" t="s">
        <v>40</v>
      </c>
      <c r="AE4" t="s">
        <v>40</v>
      </c>
    </row>
    <row r="5" spans="1:31" x14ac:dyDescent="0.25">
      <c r="A5" t="s">
        <v>66</v>
      </c>
      <c r="B5" t="s">
        <v>192</v>
      </c>
      <c r="C5" t="s">
        <v>40</v>
      </c>
      <c r="D5" s="1" t="s">
        <v>74</v>
      </c>
      <c r="E5" s="2">
        <v>2625</v>
      </c>
      <c r="F5" t="s">
        <v>40</v>
      </c>
      <c r="G5" s="1" t="s">
        <v>40</v>
      </c>
      <c r="H5" t="s">
        <v>43</v>
      </c>
      <c r="I5" t="s">
        <v>190</v>
      </c>
      <c r="J5" t="s">
        <v>76</v>
      </c>
      <c r="K5" t="s">
        <v>46</v>
      </c>
      <c r="L5" t="s">
        <v>77</v>
      </c>
      <c r="M5" t="s">
        <v>48</v>
      </c>
      <c r="N5" t="s">
        <v>49</v>
      </c>
      <c r="O5" s="2" t="s">
        <v>40</v>
      </c>
      <c r="P5" s="2">
        <v>2500</v>
      </c>
      <c r="Q5" s="2">
        <v>125</v>
      </c>
      <c r="R5" s="2">
        <v>0</v>
      </c>
      <c r="S5" s="2">
        <v>0</v>
      </c>
      <c r="T5" s="2">
        <v>0</v>
      </c>
      <c r="U5" s="2">
        <v>125</v>
      </c>
      <c r="V5" t="s">
        <v>49</v>
      </c>
      <c r="W5" t="s">
        <v>53</v>
      </c>
      <c r="X5" t="s">
        <v>54</v>
      </c>
      <c r="Y5" t="s">
        <v>191</v>
      </c>
      <c r="Z5" t="s">
        <v>56</v>
      </c>
      <c r="AA5" t="s">
        <v>40</v>
      </c>
      <c r="AB5" t="s">
        <v>57</v>
      </c>
      <c r="AC5" t="s">
        <v>40</v>
      </c>
      <c r="AD5" t="s">
        <v>40</v>
      </c>
      <c r="AE5" t="s">
        <v>40</v>
      </c>
    </row>
    <row r="6" spans="1:31" x14ac:dyDescent="0.25">
      <c r="A6" t="s">
        <v>72</v>
      </c>
      <c r="B6" s="13" t="s">
        <v>193</v>
      </c>
      <c r="C6" t="s">
        <v>40</v>
      </c>
      <c r="D6" s="1" t="s">
        <v>74</v>
      </c>
      <c r="E6" s="2">
        <v>1890</v>
      </c>
      <c r="F6" t="s">
        <v>40</v>
      </c>
      <c r="G6" s="1" t="s">
        <v>40</v>
      </c>
      <c r="H6" t="s">
        <v>43</v>
      </c>
      <c r="I6" t="s">
        <v>190</v>
      </c>
      <c r="J6" t="s">
        <v>76</v>
      </c>
      <c r="K6" t="s">
        <v>46</v>
      </c>
      <c r="L6" t="s">
        <v>77</v>
      </c>
      <c r="M6" t="s">
        <v>48</v>
      </c>
      <c r="N6" t="s">
        <v>49</v>
      </c>
      <c r="O6" s="2" t="s">
        <v>40</v>
      </c>
      <c r="P6" s="2">
        <v>1800</v>
      </c>
      <c r="Q6" s="2">
        <v>90</v>
      </c>
      <c r="R6" s="2">
        <v>0</v>
      </c>
      <c r="S6" s="2">
        <v>0</v>
      </c>
      <c r="T6" s="2">
        <v>0</v>
      </c>
      <c r="U6" s="2">
        <v>90</v>
      </c>
      <c r="V6" t="s">
        <v>49</v>
      </c>
      <c r="W6" t="s">
        <v>53</v>
      </c>
      <c r="X6" t="s">
        <v>54</v>
      </c>
      <c r="Y6" t="s">
        <v>191</v>
      </c>
      <c r="Z6" t="s">
        <v>56</v>
      </c>
      <c r="AA6" t="s">
        <v>40</v>
      </c>
      <c r="AB6" t="s">
        <v>57</v>
      </c>
      <c r="AC6" t="s">
        <v>40</v>
      </c>
      <c r="AD6" t="s">
        <v>40</v>
      </c>
      <c r="AE6" t="s">
        <v>40</v>
      </c>
    </row>
    <row r="7" spans="1:31" x14ac:dyDescent="0.25">
      <c r="A7" t="s">
        <v>78</v>
      </c>
      <c r="B7" s="13" t="s">
        <v>194</v>
      </c>
      <c r="C7" t="s">
        <v>40</v>
      </c>
      <c r="D7" s="1" t="s">
        <v>74</v>
      </c>
      <c r="E7" s="2">
        <v>3675</v>
      </c>
      <c r="F7" t="s">
        <v>40</v>
      </c>
      <c r="G7" s="1" t="s">
        <v>40</v>
      </c>
      <c r="H7" t="s">
        <v>43</v>
      </c>
      <c r="I7" t="s">
        <v>190</v>
      </c>
      <c r="J7" t="s">
        <v>76</v>
      </c>
      <c r="K7" t="s">
        <v>46</v>
      </c>
      <c r="L7" t="s">
        <v>77</v>
      </c>
      <c r="M7" t="s">
        <v>48</v>
      </c>
      <c r="N7" t="s">
        <v>49</v>
      </c>
      <c r="O7" s="2" t="s">
        <v>40</v>
      </c>
      <c r="P7" s="2">
        <v>3500</v>
      </c>
      <c r="Q7" s="2">
        <v>175</v>
      </c>
      <c r="R7" s="2">
        <v>0</v>
      </c>
      <c r="S7" s="2">
        <v>0</v>
      </c>
      <c r="T7" s="2">
        <v>0</v>
      </c>
      <c r="U7" s="2">
        <v>175</v>
      </c>
      <c r="V7" t="s">
        <v>49</v>
      </c>
      <c r="W7" t="s">
        <v>53</v>
      </c>
      <c r="X7" t="s">
        <v>54</v>
      </c>
      <c r="Y7" t="s">
        <v>191</v>
      </c>
      <c r="Z7" t="s">
        <v>56</v>
      </c>
      <c r="AA7" t="s">
        <v>40</v>
      </c>
      <c r="AB7" t="s">
        <v>57</v>
      </c>
      <c r="AC7" t="s">
        <v>40</v>
      </c>
      <c r="AD7" t="s">
        <v>40</v>
      </c>
      <c r="AE7" t="s">
        <v>40</v>
      </c>
    </row>
    <row r="8" spans="1:31" x14ac:dyDescent="0.25">
      <c r="A8" t="s">
        <v>80</v>
      </c>
      <c r="B8" s="13" t="s">
        <v>195</v>
      </c>
      <c r="C8" t="s">
        <v>40</v>
      </c>
      <c r="D8" s="1" t="s">
        <v>74</v>
      </c>
      <c r="E8" s="2">
        <v>2625</v>
      </c>
      <c r="F8" t="s">
        <v>40</v>
      </c>
      <c r="G8" s="1" t="s">
        <v>40</v>
      </c>
      <c r="H8" t="s">
        <v>43</v>
      </c>
      <c r="I8" t="s">
        <v>190</v>
      </c>
      <c r="J8" t="s">
        <v>76</v>
      </c>
      <c r="K8" t="s">
        <v>46</v>
      </c>
      <c r="L8" t="s">
        <v>77</v>
      </c>
      <c r="M8" t="s">
        <v>48</v>
      </c>
      <c r="N8" t="s">
        <v>49</v>
      </c>
      <c r="O8" s="2" t="s">
        <v>40</v>
      </c>
      <c r="P8" s="2">
        <v>2500</v>
      </c>
      <c r="Q8" s="2">
        <v>125</v>
      </c>
      <c r="R8" s="2">
        <v>0</v>
      </c>
      <c r="S8" s="2">
        <v>0</v>
      </c>
      <c r="T8" s="2">
        <v>0</v>
      </c>
      <c r="U8" s="2">
        <v>125</v>
      </c>
      <c r="V8" t="s">
        <v>49</v>
      </c>
      <c r="W8" t="s">
        <v>53</v>
      </c>
      <c r="X8" t="s">
        <v>54</v>
      </c>
      <c r="Y8" t="s">
        <v>191</v>
      </c>
      <c r="Z8" t="s">
        <v>56</v>
      </c>
      <c r="AA8" t="s">
        <v>40</v>
      </c>
      <c r="AB8" t="s">
        <v>57</v>
      </c>
      <c r="AC8" t="s">
        <v>40</v>
      </c>
      <c r="AD8" t="s">
        <v>40</v>
      </c>
      <c r="AE8" t="s">
        <v>40</v>
      </c>
    </row>
    <row r="9" spans="1:31" s="10" customFormat="1" x14ac:dyDescent="0.25">
      <c r="A9" s="10" t="s">
        <v>82</v>
      </c>
      <c r="B9" s="10" t="s">
        <v>196</v>
      </c>
      <c r="C9" s="10" t="s">
        <v>40</v>
      </c>
      <c r="D9" s="11" t="s">
        <v>74</v>
      </c>
      <c r="E9" s="12">
        <v>1575</v>
      </c>
      <c r="F9" s="10" t="s">
        <v>40</v>
      </c>
      <c r="G9" s="11" t="s">
        <v>40</v>
      </c>
      <c r="H9" s="10" t="s">
        <v>43</v>
      </c>
      <c r="I9" s="10" t="s">
        <v>190</v>
      </c>
      <c r="J9" s="10" t="s">
        <v>76</v>
      </c>
      <c r="K9" s="10" t="s">
        <v>46</v>
      </c>
      <c r="L9" s="10" t="s">
        <v>77</v>
      </c>
      <c r="M9" s="10" t="s">
        <v>48</v>
      </c>
      <c r="N9" s="10" t="s">
        <v>49</v>
      </c>
      <c r="O9" s="12" t="s">
        <v>40</v>
      </c>
      <c r="P9" s="12">
        <v>1500</v>
      </c>
      <c r="Q9" s="12">
        <v>75</v>
      </c>
      <c r="R9" s="12">
        <v>0</v>
      </c>
      <c r="S9" s="12">
        <v>0</v>
      </c>
      <c r="T9" s="12">
        <v>0</v>
      </c>
      <c r="U9" s="12">
        <v>75</v>
      </c>
      <c r="V9" s="10" t="s">
        <v>49</v>
      </c>
      <c r="W9" s="10" t="s">
        <v>53</v>
      </c>
      <c r="X9" s="10" t="s">
        <v>54</v>
      </c>
      <c r="Y9" s="10" t="s">
        <v>191</v>
      </c>
      <c r="Z9" s="10" t="s">
        <v>56</v>
      </c>
      <c r="AA9" s="10" t="s">
        <v>40</v>
      </c>
      <c r="AB9" s="10" t="s">
        <v>57</v>
      </c>
      <c r="AC9" s="10" t="s">
        <v>40</v>
      </c>
      <c r="AD9" s="10" t="s">
        <v>40</v>
      </c>
      <c r="AE9" s="10" t="s">
        <v>40</v>
      </c>
    </row>
    <row r="10" spans="1:31" s="14" customFormat="1" x14ac:dyDescent="0.25">
      <c r="A10" s="14" t="s">
        <v>84</v>
      </c>
      <c r="B10" s="14" t="s">
        <v>197</v>
      </c>
      <c r="C10" s="14" t="s">
        <v>40</v>
      </c>
      <c r="D10" s="15" t="s">
        <v>88</v>
      </c>
      <c r="E10" s="16">
        <v>3150</v>
      </c>
      <c r="F10" s="14" t="s">
        <v>40</v>
      </c>
      <c r="G10" s="15" t="s">
        <v>40</v>
      </c>
      <c r="H10" s="14" t="s">
        <v>43</v>
      </c>
      <c r="I10" s="14" t="s">
        <v>190</v>
      </c>
      <c r="J10" s="14" t="s">
        <v>76</v>
      </c>
      <c r="K10" s="14" t="s">
        <v>46</v>
      </c>
      <c r="L10" s="14" t="s">
        <v>77</v>
      </c>
      <c r="M10" s="14" t="s">
        <v>48</v>
      </c>
      <c r="N10" s="14" t="s">
        <v>49</v>
      </c>
      <c r="O10" s="16" t="s">
        <v>40</v>
      </c>
      <c r="P10" s="16">
        <v>3000</v>
      </c>
      <c r="Q10" s="16">
        <v>150</v>
      </c>
      <c r="R10" s="16">
        <v>0</v>
      </c>
      <c r="S10" s="16">
        <v>0</v>
      </c>
      <c r="T10" s="16">
        <v>0</v>
      </c>
      <c r="U10" s="16">
        <v>150</v>
      </c>
      <c r="V10" s="14" t="s">
        <v>49</v>
      </c>
      <c r="W10" s="14" t="s">
        <v>53</v>
      </c>
      <c r="X10" s="14" t="s">
        <v>54</v>
      </c>
      <c r="Y10" s="14" t="s">
        <v>191</v>
      </c>
      <c r="Z10" s="14" t="s">
        <v>56</v>
      </c>
      <c r="AA10" s="14" t="s">
        <v>40</v>
      </c>
      <c r="AB10" s="14" t="s">
        <v>57</v>
      </c>
      <c r="AC10" s="14" t="s">
        <v>40</v>
      </c>
      <c r="AD10" s="14" t="s">
        <v>40</v>
      </c>
      <c r="AE10" s="14" t="s">
        <v>40</v>
      </c>
    </row>
    <row r="11" spans="1:31" s="10" customFormat="1" x14ac:dyDescent="0.25">
      <c r="A11" s="10" t="s">
        <v>86</v>
      </c>
      <c r="B11" s="10" t="s">
        <v>198</v>
      </c>
      <c r="C11" s="10" t="s">
        <v>40</v>
      </c>
      <c r="D11" s="11" t="s">
        <v>88</v>
      </c>
      <c r="E11" s="12">
        <v>3675</v>
      </c>
      <c r="F11" s="10" t="s">
        <v>40</v>
      </c>
      <c r="G11" s="11" t="s">
        <v>40</v>
      </c>
      <c r="H11" s="10" t="s">
        <v>43</v>
      </c>
      <c r="I11" s="10" t="s">
        <v>190</v>
      </c>
      <c r="J11" s="10" t="s">
        <v>76</v>
      </c>
      <c r="K11" s="10" t="s">
        <v>46</v>
      </c>
      <c r="L11" s="10" t="s">
        <v>77</v>
      </c>
      <c r="M11" s="10" t="s">
        <v>48</v>
      </c>
      <c r="N11" s="10" t="s">
        <v>49</v>
      </c>
      <c r="O11" s="12" t="s">
        <v>40</v>
      </c>
      <c r="P11" s="12">
        <v>3500</v>
      </c>
      <c r="Q11" s="12">
        <v>175</v>
      </c>
      <c r="R11" s="12">
        <v>0</v>
      </c>
      <c r="S11" s="12">
        <v>0</v>
      </c>
      <c r="T11" s="12">
        <v>0</v>
      </c>
      <c r="U11" s="12">
        <v>175</v>
      </c>
      <c r="V11" s="10" t="s">
        <v>49</v>
      </c>
      <c r="W11" s="10" t="s">
        <v>53</v>
      </c>
      <c r="X11" s="10" t="s">
        <v>54</v>
      </c>
      <c r="Y11" s="10" t="s">
        <v>191</v>
      </c>
      <c r="Z11" s="10" t="s">
        <v>56</v>
      </c>
      <c r="AA11" s="10" t="s">
        <v>40</v>
      </c>
      <c r="AB11" s="10" t="s">
        <v>57</v>
      </c>
      <c r="AC11" s="10" t="s">
        <v>40</v>
      </c>
      <c r="AD11" s="10" t="s">
        <v>40</v>
      </c>
      <c r="AE11" s="10" t="s">
        <v>40</v>
      </c>
    </row>
    <row r="12" spans="1:31" s="10" customFormat="1" x14ac:dyDescent="0.25">
      <c r="A12" s="10" t="s">
        <v>96</v>
      </c>
      <c r="B12" s="10" t="s">
        <v>199</v>
      </c>
      <c r="C12" s="10" t="s">
        <v>40</v>
      </c>
      <c r="D12" s="11" t="s">
        <v>88</v>
      </c>
      <c r="E12" s="12">
        <v>2940</v>
      </c>
      <c r="F12" s="10" t="s">
        <v>40</v>
      </c>
      <c r="G12" s="11" t="s">
        <v>40</v>
      </c>
      <c r="H12" s="10" t="s">
        <v>43</v>
      </c>
      <c r="I12" s="10" t="s">
        <v>190</v>
      </c>
      <c r="J12" s="10" t="s">
        <v>76</v>
      </c>
      <c r="K12" s="10" t="s">
        <v>46</v>
      </c>
      <c r="L12" s="10" t="s">
        <v>77</v>
      </c>
      <c r="M12" s="10" t="s">
        <v>48</v>
      </c>
      <c r="N12" s="10" t="s">
        <v>49</v>
      </c>
      <c r="O12" s="12" t="s">
        <v>40</v>
      </c>
      <c r="P12" s="12">
        <v>2800</v>
      </c>
      <c r="Q12" s="12">
        <v>140</v>
      </c>
      <c r="R12" s="12">
        <v>0</v>
      </c>
      <c r="S12" s="12">
        <v>0</v>
      </c>
      <c r="T12" s="12">
        <v>0</v>
      </c>
      <c r="U12" s="12">
        <v>140</v>
      </c>
      <c r="V12" s="10" t="s">
        <v>49</v>
      </c>
      <c r="W12" s="10" t="s">
        <v>53</v>
      </c>
      <c r="X12" s="10" t="s">
        <v>54</v>
      </c>
      <c r="Y12" s="10" t="s">
        <v>191</v>
      </c>
      <c r="Z12" s="10" t="s">
        <v>56</v>
      </c>
      <c r="AA12" s="10" t="s">
        <v>40</v>
      </c>
      <c r="AB12" s="10" t="s">
        <v>57</v>
      </c>
      <c r="AC12" s="10" t="s">
        <v>40</v>
      </c>
      <c r="AD12" s="10" t="s">
        <v>40</v>
      </c>
      <c r="AE12" s="10" t="s">
        <v>40</v>
      </c>
    </row>
    <row r="13" spans="1:31" x14ac:dyDescent="0.25">
      <c r="A13" t="s">
        <v>92</v>
      </c>
      <c r="B13" s="13" t="s">
        <v>200</v>
      </c>
      <c r="C13" t="s">
        <v>40</v>
      </c>
      <c r="D13" s="1" t="s">
        <v>98</v>
      </c>
      <c r="E13" s="2">
        <v>2940</v>
      </c>
      <c r="F13" t="s">
        <v>40</v>
      </c>
      <c r="G13" s="1" t="s">
        <v>40</v>
      </c>
      <c r="H13" t="s">
        <v>43</v>
      </c>
      <c r="I13" t="s">
        <v>190</v>
      </c>
      <c r="J13" t="s">
        <v>76</v>
      </c>
      <c r="K13" t="s">
        <v>46</v>
      </c>
      <c r="L13" t="s">
        <v>77</v>
      </c>
      <c r="M13" t="s">
        <v>48</v>
      </c>
      <c r="N13" t="s">
        <v>49</v>
      </c>
      <c r="O13" s="2" t="s">
        <v>40</v>
      </c>
      <c r="P13" s="2">
        <v>2800</v>
      </c>
      <c r="Q13" s="2">
        <v>140</v>
      </c>
      <c r="R13" s="2">
        <v>0</v>
      </c>
      <c r="S13" s="2">
        <v>0</v>
      </c>
      <c r="T13" s="2">
        <v>0</v>
      </c>
      <c r="U13" s="2">
        <v>140</v>
      </c>
      <c r="V13" t="s">
        <v>49</v>
      </c>
      <c r="W13" t="s">
        <v>53</v>
      </c>
      <c r="X13" t="s">
        <v>54</v>
      </c>
      <c r="Y13" t="s">
        <v>191</v>
      </c>
      <c r="Z13" t="s">
        <v>56</v>
      </c>
      <c r="AA13" t="s">
        <v>40</v>
      </c>
      <c r="AB13" t="s">
        <v>57</v>
      </c>
      <c r="AC13" t="s">
        <v>40</v>
      </c>
      <c r="AD13" t="s">
        <v>40</v>
      </c>
      <c r="AE13" t="s">
        <v>40</v>
      </c>
    </row>
    <row r="14" spans="1:31" x14ac:dyDescent="0.25">
      <c r="A14" t="s">
        <v>99</v>
      </c>
      <c r="B14" t="s">
        <v>201</v>
      </c>
      <c r="C14" t="s">
        <v>40</v>
      </c>
      <c r="D14" s="1" t="s">
        <v>94</v>
      </c>
      <c r="E14" s="2">
        <v>39000</v>
      </c>
      <c r="F14" t="s">
        <v>40</v>
      </c>
      <c r="G14" s="1" t="s">
        <v>40</v>
      </c>
      <c r="H14" t="s">
        <v>43</v>
      </c>
      <c r="I14" t="s">
        <v>185</v>
      </c>
      <c r="J14" t="s">
        <v>186</v>
      </c>
      <c r="K14" t="s">
        <v>46</v>
      </c>
      <c r="L14" t="s">
        <v>47</v>
      </c>
      <c r="M14" t="s">
        <v>48</v>
      </c>
      <c r="N14" t="s">
        <v>49</v>
      </c>
      <c r="O14" s="2" t="s">
        <v>40</v>
      </c>
      <c r="P14" s="2">
        <v>37142.9</v>
      </c>
      <c r="Q14" s="2">
        <v>0</v>
      </c>
      <c r="R14" s="2">
        <v>928.57</v>
      </c>
      <c r="S14" s="2">
        <v>928.57</v>
      </c>
      <c r="T14" s="2">
        <v>0</v>
      </c>
      <c r="U14" s="2">
        <v>1857.14</v>
      </c>
      <c r="V14" t="s">
        <v>49</v>
      </c>
      <c r="W14" t="s">
        <v>53</v>
      </c>
      <c r="X14" t="s">
        <v>54</v>
      </c>
      <c r="Y14" t="s">
        <v>202</v>
      </c>
      <c r="Z14" t="s">
        <v>56</v>
      </c>
      <c r="AA14" t="s">
        <v>40</v>
      </c>
      <c r="AB14" t="s">
        <v>57</v>
      </c>
      <c r="AC14" t="s">
        <v>40</v>
      </c>
      <c r="AD14" t="s">
        <v>40</v>
      </c>
      <c r="AE14" t="s">
        <v>40</v>
      </c>
    </row>
    <row r="15" spans="1:31" x14ac:dyDescent="0.25">
      <c r="A15" t="s">
        <v>102</v>
      </c>
      <c r="B15" t="s">
        <v>203</v>
      </c>
      <c r="C15" t="s">
        <v>40</v>
      </c>
      <c r="D15" s="1" t="s">
        <v>94</v>
      </c>
      <c r="E15" s="2">
        <v>1575</v>
      </c>
      <c r="F15" t="s">
        <v>40</v>
      </c>
      <c r="G15" s="1" t="s">
        <v>40</v>
      </c>
      <c r="H15" t="s">
        <v>43</v>
      </c>
      <c r="I15" t="s">
        <v>190</v>
      </c>
      <c r="J15" t="s">
        <v>76</v>
      </c>
      <c r="K15" t="s">
        <v>46</v>
      </c>
      <c r="L15" t="s">
        <v>77</v>
      </c>
      <c r="M15" t="s">
        <v>48</v>
      </c>
      <c r="N15" t="s">
        <v>49</v>
      </c>
      <c r="O15" s="2" t="s">
        <v>40</v>
      </c>
      <c r="P15" s="2">
        <v>1500</v>
      </c>
      <c r="Q15" s="2">
        <v>75</v>
      </c>
      <c r="R15" s="2">
        <v>0</v>
      </c>
      <c r="S15" s="2">
        <v>0</v>
      </c>
      <c r="T15" s="2">
        <v>0</v>
      </c>
      <c r="U15" s="2">
        <v>75</v>
      </c>
      <c r="V15" t="s">
        <v>49</v>
      </c>
      <c r="W15" t="s">
        <v>53</v>
      </c>
      <c r="X15" t="s">
        <v>54</v>
      </c>
      <c r="Y15" t="s">
        <v>191</v>
      </c>
      <c r="Z15" t="s">
        <v>56</v>
      </c>
      <c r="AA15" t="s">
        <v>40</v>
      </c>
      <c r="AB15" t="s">
        <v>57</v>
      </c>
      <c r="AC15" t="s">
        <v>40</v>
      </c>
      <c r="AD15" t="s">
        <v>40</v>
      </c>
      <c r="AE15" t="s">
        <v>40</v>
      </c>
    </row>
    <row r="16" spans="1:31" x14ac:dyDescent="0.25">
      <c r="A16" t="s">
        <v>104</v>
      </c>
      <c r="B16" t="s">
        <v>204</v>
      </c>
      <c r="C16" t="s">
        <v>40</v>
      </c>
      <c r="D16" s="1" t="s">
        <v>101</v>
      </c>
      <c r="E16" s="2">
        <v>1575</v>
      </c>
      <c r="F16" t="s">
        <v>40</v>
      </c>
      <c r="G16" s="1" t="s">
        <v>40</v>
      </c>
      <c r="H16" t="s">
        <v>43</v>
      </c>
      <c r="I16" t="s">
        <v>190</v>
      </c>
      <c r="J16" t="s">
        <v>76</v>
      </c>
      <c r="K16" t="s">
        <v>46</v>
      </c>
      <c r="L16" t="s">
        <v>77</v>
      </c>
      <c r="M16" t="s">
        <v>48</v>
      </c>
      <c r="N16" t="s">
        <v>49</v>
      </c>
      <c r="O16" s="2" t="s">
        <v>40</v>
      </c>
      <c r="P16" s="2">
        <v>1500</v>
      </c>
      <c r="Q16" s="2">
        <v>75</v>
      </c>
      <c r="R16" s="2">
        <v>0</v>
      </c>
      <c r="S16" s="2">
        <v>0</v>
      </c>
      <c r="T16" s="2">
        <v>0</v>
      </c>
      <c r="U16" s="2">
        <v>75</v>
      </c>
      <c r="V16" t="s">
        <v>49</v>
      </c>
      <c r="W16" t="s">
        <v>53</v>
      </c>
      <c r="X16" t="s">
        <v>54</v>
      </c>
      <c r="Y16" t="s">
        <v>191</v>
      </c>
      <c r="Z16" t="s">
        <v>56</v>
      </c>
      <c r="AA16" t="s">
        <v>40</v>
      </c>
      <c r="AB16" t="s">
        <v>57</v>
      </c>
      <c r="AC16" t="s">
        <v>40</v>
      </c>
      <c r="AD16" t="s">
        <v>40</v>
      </c>
      <c r="AE16" t="s">
        <v>40</v>
      </c>
    </row>
    <row r="17" spans="1:31" x14ac:dyDescent="0.25">
      <c r="A17" t="s">
        <v>107</v>
      </c>
      <c r="B17" t="s">
        <v>205</v>
      </c>
      <c r="C17" t="s">
        <v>40</v>
      </c>
      <c r="D17" s="1" t="s">
        <v>101</v>
      </c>
      <c r="E17" s="2">
        <v>2100</v>
      </c>
      <c r="F17" t="s">
        <v>40</v>
      </c>
      <c r="G17" s="1" t="s">
        <v>40</v>
      </c>
      <c r="H17" t="s">
        <v>43</v>
      </c>
      <c r="I17" t="s">
        <v>190</v>
      </c>
      <c r="J17" t="s">
        <v>76</v>
      </c>
      <c r="K17" t="s">
        <v>46</v>
      </c>
      <c r="L17" t="s">
        <v>77</v>
      </c>
      <c r="M17" t="s">
        <v>48</v>
      </c>
      <c r="N17" t="s">
        <v>49</v>
      </c>
      <c r="O17" s="2" t="s">
        <v>40</v>
      </c>
      <c r="P17" s="2">
        <v>2000</v>
      </c>
      <c r="Q17" s="2">
        <v>100</v>
      </c>
      <c r="R17" s="2">
        <v>0</v>
      </c>
      <c r="S17" s="2">
        <v>0</v>
      </c>
      <c r="T17" s="2">
        <v>0</v>
      </c>
      <c r="U17" s="2">
        <v>100</v>
      </c>
      <c r="V17" t="s">
        <v>49</v>
      </c>
      <c r="W17" t="s">
        <v>53</v>
      </c>
      <c r="X17" t="s">
        <v>54</v>
      </c>
      <c r="Y17" t="s">
        <v>191</v>
      </c>
      <c r="Z17" t="s">
        <v>56</v>
      </c>
      <c r="AA17" t="s">
        <v>40</v>
      </c>
      <c r="AB17" t="s">
        <v>57</v>
      </c>
      <c r="AC17" t="s">
        <v>40</v>
      </c>
      <c r="AD17" t="s">
        <v>40</v>
      </c>
      <c r="AE17" t="s">
        <v>40</v>
      </c>
    </row>
    <row r="18" spans="1:31" x14ac:dyDescent="0.25">
      <c r="A18" t="s">
        <v>110</v>
      </c>
      <c r="B18" t="s">
        <v>206</v>
      </c>
      <c r="C18" t="s">
        <v>40</v>
      </c>
      <c r="D18" s="1" t="s">
        <v>106</v>
      </c>
      <c r="E18" s="2">
        <v>1890</v>
      </c>
      <c r="F18" t="s">
        <v>40</v>
      </c>
      <c r="G18" s="1" t="s">
        <v>40</v>
      </c>
      <c r="H18" t="s">
        <v>43</v>
      </c>
      <c r="I18" t="s">
        <v>190</v>
      </c>
      <c r="J18" t="s">
        <v>76</v>
      </c>
      <c r="K18" t="s">
        <v>46</v>
      </c>
      <c r="L18" t="s">
        <v>77</v>
      </c>
      <c r="M18" t="s">
        <v>48</v>
      </c>
      <c r="N18" t="s">
        <v>49</v>
      </c>
      <c r="O18" s="2" t="s">
        <v>40</v>
      </c>
      <c r="P18" s="2">
        <v>1800</v>
      </c>
      <c r="Q18" s="2">
        <v>90</v>
      </c>
      <c r="R18" s="2">
        <v>0</v>
      </c>
      <c r="S18" s="2">
        <v>0</v>
      </c>
      <c r="T18" s="2">
        <v>0</v>
      </c>
      <c r="U18" s="2">
        <v>90</v>
      </c>
      <c r="V18" t="s">
        <v>49</v>
      </c>
      <c r="W18" t="s">
        <v>53</v>
      </c>
      <c r="X18" t="s">
        <v>54</v>
      </c>
      <c r="Y18" t="s">
        <v>191</v>
      </c>
      <c r="Z18" t="s">
        <v>56</v>
      </c>
      <c r="AA18" t="s">
        <v>40</v>
      </c>
      <c r="AB18" t="s">
        <v>57</v>
      </c>
      <c r="AC18" t="s">
        <v>40</v>
      </c>
      <c r="AD18" t="s">
        <v>40</v>
      </c>
      <c r="AE18" t="s">
        <v>40</v>
      </c>
    </row>
    <row r="19" spans="1:31" x14ac:dyDescent="0.25">
      <c r="A19" t="s">
        <v>113</v>
      </c>
      <c r="B19" t="s">
        <v>207</v>
      </c>
      <c r="C19" t="s">
        <v>40</v>
      </c>
      <c r="D19" s="1" t="s">
        <v>109</v>
      </c>
      <c r="E19" s="2">
        <v>3150</v>
      </c>
      <c r="F19" t="s">
        <v>40</v>
      </c>
      <c r="G19" s="1" t="s">
        <v>40</v>
      </c>
      <c r="H19" t="s">
        <v>43</v>
      </c>
      <c r="I19" t="s">
        <v>190</v>
      </c>
      <c r="J19" t="s">
        <v>76</v>
      </c>
      <c r="K19" t="s">
        <v>46</v>
      </c>
      <c r="L19" t="s">
        <v>77</v>
      </c>
      <c r="M19" t="s">
        <v>48</v>
      </c>
      <c r="N19" t="s">
        <v>49</v>
      </c>
      <c r="O19" s="2" t="s">
        <v>40</v>
      </c>
      <c r="P19" s="2">
        <v>3000</v>
      </c>
      <c r="Q19" s="2">
        <v>150</v>
      </c>
      <c r="R19" s="2">
        <v>0</v>
      </c>
      <c r="S19" s="2">
        <v>0</v>
      </c>
      <c r="T19" s="2">
        <v>0</v>
      </c>
      <c r="U19" s="2">
        <v>150</v>
      </c>
      <c r="V19" t="s">
        <v>49</v>
      </c>
      <c r="W19" t="s">
        <v>53</v>
      </c>
      <c r="X19" t="s">
        <v>54</v>
      </c>
      <c r="Y19" t="s">
        <v>191</v>
      </c>
      <c r="Z19" t="s">
        <v>56</v>
      </c>
      <c r="AA19" t="s">
        <v>40</v>
      </c>
      <c r="AB19" t="s">
        <v>57</v>
      </c>
      <c r="AC19" t="s">
        <v>40</v>
      </c>
      <c r="AD19" t="s">
        <v>40</v>
      </c>
      <c r="AE19" t="s">
        <v>40</v>
      </c>
    </row>
    <row r="20" spans="1:31" x14ac:dyDescent="0.25">
      <c r="A20" t="s">
        <v>115</v>
      </c>
      <c r="B20" t="s">
        <v>208</v>
      </c>
      <c r="C20" t="s">
        <v>40</v>
      </c>
      <c r="D20" s="1" t="s">
        <v>112</v>
      </c>
      <c r="E20" s="2">
        <v>4200</v>
      </c>
      <c r="F20" t="s">
        <v>40</v>
      </c>
      <c r="G20" s="1" t="s">
        <v>40</v>
      </c>
      <c r="H20" t="s">
        <v>43</v>
      </c>
      <c r="I20" t="s">
        <v>190</v>
      </c>
      <c r="J20" t="s">
        <v>76</v>
      </c>
      <c r="K20" t="s">
        <v>46</v>
      </c>
      <c r="L20" t="s">
        <v>77</v>
      </c>
      <c r="M20" t="s">
        <v>48</v>
      </c>
      <c r="N20" t="s">
        <v>49</v>
      </c>
      <c r="O20" s="2" t="s">
        <v>40</v>
      </c>
      <c r="P20" s="2">
        <v>4000</v>
      </c>
      <c r="Q20" s="2">
        <v>200</v>
      </c>
      <c r="R20" s="2">
        <v>0</v>
      </c>
      <c r="S20" s="2">
        <v>0</v>
      </c>
      <c r="T20" s="2">
        <v>0</v>
      </c>
      <c r="U20" s="2">
        <v>200</v>
      </c>
      <c r="V20" t="s">
        <v>49</v>
      </c>
      <c r="W20" t="s">
        <v>53</v>
      </c>
      <c r="X20" t="s">
        <v>54</v>
      </c>
      <c r="Y20" t="s">
        <v>191</v>
      </c>
      <c r="Z20" t="s">
        <v>56</v>
      </c>
      <c r="AA20" t="s">
        <v>40</v>
      </c>
      <c r="AB20" t="s">
        <v>57</v>
      </c>
      <c r="AC20" t="s">
        <v>40</v>
      </c>
      <c r="AD20" t="s">
        <v>40</v>
      </c>
      <c r="AE20" t="s">
        <v>40</v>
      </c>
    </row>
    <row r="21" spans="1:31" x14ac:dyDescent="0.25">
      <c r="A21" t="s">
        <v>117</v>
      </c>
      <c r="B21" t="s">
        <v>209</v>
      </c>
      <c r="C21" t="s">
        <v>40</v>
      </c>
      <c r="D21" s="1" t="s">
        <v>112</v>
      </c>
      <c r="E21" s="2">
        <v>2940</v>
      </c>
      <c r="F21" t="s">
        <v>40</v>
      </c>
      <c r="G21" s="1" t="s">
        <v>40</v>
      </c>
      <c r="H21" t="s">
        <v>43</v>
      </c>
      <c r="I21" t="s">
        <v>190</v>
      </c>
      <c r="J21" t="s">
        <v>76</v>
      </c>
      <c r="K21" t="s">
        <v>46</v>
      </c>
      <c r="L21" t="s">
        <v>77</v>
      </c>
      <c r="M21" t="s">
        <v>48</v>
      </c>
      <c r="N21" t="s">
        <v>49</v>
      </c>
      <c r="O21" s="2" t="s">
        <v>40</v>
      </c>
      <c r="P21" s="2">
        <v>2800</v>
      </c>
      <c r="Q21" s="2">
        <v>140</v>
      </c>
      <c r="R21" s="2">
        <v>0</v>
      </c>
      <c r="S21" s="2">
        <v>0</v>
      </c>
      <c r="T21" s="2">
        <v>0</v>
      </c>
      <c r="U21" s="2">
        <v>140</v>
      </c>
      <c r="V21" t="s">
        <v>49</v>
      </c>
      <c r="W21" t="s">
        <v>53</v>
      </c>
      <c r="X21" t="s">
        <v>54</v>
      </c>
      <c r="Y21" t="s">
        <v>191</v>
      </c>
      <c r="Z21" t="s">
        <v>56</v>
      </c>
      <c r="AA21" t="s">
        <v>40</v>
      </c>
      <c r="AB21" t="s">
        <v>57</v>
      </c>
      <c r="AC21" t="s">
        <v>40</v>
      </c>
      <c r="AD21" t="s">
        <v>40</v>
      </c>
      <c r="AE21" t="s">
        <v>40</v>
      </c>
    </row>
    <row r="22" spans="1:31" x14ac:dyDescent="0.25">
      <c r="A22" t="s">
        <v>119</v>
      </c>
      <c r="B22" t="s">
        <v>210</v>
      </c>
      <c r="C22" t="s">
        <v>40</v>
      </c>
      <c r="D22" s="1" t="s">
        <v>112</v>
      </c>
      <c r="E22" s="2">
        <v>2625</v>
      </c>
      <c r="F22" t="s">
        <v>40</v>
      </c>
      <c r="G22" s="1" t="s">
        <v>40</v>
      </c>
      <c r="H22" t="s">
        <v>43</v>
      </c>
      <c r="I22" t="s">
        <v>190</v>
      </c>
      <c r="J22" t="s">
        <v>76</v>
      </c>
      <c r="K22" t="s">
        <v>46</v>
      </c>
      <c r="L22" t="s">
        <v>77</v>
      </c>
      <c r="M22" t="s">
        <v>48</v>
      </c>
      <c r="N22" t="s">
        <v>49</v>
      </c>
      <c r="O22" s="2" t="s">
        <v>40</v>
      </c>
      <c r="P22" s="2">
        <v>2500</v>
      </c>
      <c r="Q22" s="2">
        <v>125</v>
      </c>
      <c r="R22" s="2">
        <v>0</v>
      </c>
      <c r="S22" s="2">
        <v>0</v>
      </c>
      <c r="T22" s="2">
        <v>0</v>
      </c>
      <c r="U22" s="2">
        <v>125</v>
      </c>
      <c r="V22" t="s">
        <v>49</v>
      </c>
      <c r="W22" t="s">
        <v>53</v>
      </c>
      <c r="X22" t="s">
        <v>54</v>
      </c>
      <c r="Y22" t="s">
        <v>191</v>
      </c>
      <c r="Z22" t="s">
        <v>56</v>
      </c>
      <c r="AA22" t="s">
        <v>40</v>
      </c>
      <c r="AB22" t="s">
        <v>57</v>
      </c>
      <c r="AC22" t="s">
        <v>40</v>
      </c>
      <c r="AD22" t="s">
        <v>40</v>
      </c>
      <c r="AE22" t="s">
        <v>40</v>
      </c>
    </row>
    <row r="23" spans="1:31" x14ac:dyDescent="0.25">
      <c r="A23" t="s">
        <v>122</v>
      </c>
      <c r="B23" t="s">
        <v>211</v>
      </c>
      <c r="C23" t="s">
        <v>40</v>
      </c>
      <c r="D23" s="1" t="s">
        <v>112</v>
      </c>
      <c r="E23" s="2">
        <v>3990</v>
      </c>
      <c r="F23" t="s">
        <v>40</v>
      </c>
      <c r="G23" s="1" t="s">
        <v>40</v>
      </c>
      <c r="H23" t="s">
        <v>43</v>
      </c>
      <c r="I23" t="s">
        <v>190</v>
      </c>
      <c r="J23" t="s">
        <v>76</v>
      </c>
      <c r="K23" t="s">
        <v>46</v>
      </c>
      <c r="L23" t="s">
        <v>77</v>
      </c>
      <c r="M23" t="s">
        <v>48</v>
      </c>
      <c r="N23" t="s">
        <v>49</v>
      </c>
      <c r="O23" s="2" t="s">
        <v>40</v>
      </c>
      <c r="P23" s="2">
        <v>3800</v>
      </c>
      <c r="Q23" s="2">
        <v>190</v>
      </c>
      <c r="R23" s="2">
        <v>0</v>
      </c>
      <c r="S23" s="2">
        <v>0</v>
      </c>
      <c r="T23" s="2">
        <v>0</v>
      </c>
      <c r="U23" s="2">
        <v>190</v>
      </c>
      <c r="V23" t="s">
        <v>49</v>
      </c>
      <c r="W23" t="s">
        <v>53</v>
      </c>
      <c r="X23" t="s">
        <v>54</v>
      </c>
      <c r="Y23" t="s">
        <v>191</v>
      </c>
      <c r="Z23" t="s">
        <v>56</v>
      </c>
      <c r="AA23" t="s">
        <v>40</v>
      </c>
      <c r="AB23" t="s">
        <v>57</v>
      </c>
      <c r="AC23" t="s">
        <v>40</v>
      </c>
      <c r="AD23" t="s">
        <v>40</v>
      </c>
      <c r="AE23" t="s">
        <v>40</v>
      </c>
    </row>
    <row r="24" spans="1:31" s="10" customFormat="1" x14ac:dyDescent="0.25">
      <c r="A24" s="10" t="s">
        <v>124</v>
      </c>
      <c r="B24" s="10" t="s">
        <v>212</v>
      </c>
      <c r="C24" s="10" t="s">
        <v>40</v>
      </c>
      <c r="D24" s="11" t="s">
        <v>42</v>
      </c>
      <c r="E24" s="12">
        <v>985</v>
      </c>
      <c r="F24" s="10" t="s">
        <v>40</v>
      </c>
      <c r="G24" s="11" t="s">
        <v>40</v>
      </c>
      <c r="H24" s="10" t="s">
        <v>43</v>
      </c>
      <c r="I24" s="10" t="s">
        <v>213</v>
      </c>
      <c r="J24" s="10" t="s">
        <v>214</v>
      </c>
      <c r="K24" s="10" t="s">
        <v>46</v>
      </c>
      <c r="L24" s="10" t="s">
        <v>77</v>
      </c>
      <c r="M24" s="10" t="s">
        <v>48</v>
      </c>
      <c r="N24" s="10" t="s">
        <v>49</v>
      </c>
      <c r="O24" s="12" t="s">
        <v>40</v>
      </c>
      <c r="P24" s="12">
        <v>834.75</v>
      </c>
      <c r="Q24" s="12">
        <v>150.25</v>
      </c>
      <c r="R24" s="12">
        <v>0</v>
      </c>
      <c r="S24" s="12">
        <v>0</v>
      </c>
      <c r="T24" s="12">
        <v>0</v>
      </c>
      <c r="U24" s="12">
        <v>150.25</v>
      </c>
      <c r="V24" s="10" t="s">
        <v>49</v>
      </c>
      <c r="W24" s="10" t="s">
        <v>53</v>
      </c>
      <c r="X24" s="10" t="s">
        <v>54</v>
      </c>
      <c r="Y24" s="10" t="s">
        <v>55</v>
      </c>
      <c r="Z24" s="10" t="s">
        <v>56</v>
      </c>
      <c r="AA24" s="10" t="s">
        <v>40</v>
      </c>
      <c r="AB24" s="10" t="s">
        <v>57</v>
      </c>
      <c r="AC24" s="10" t="s">
        <v>40</v>
      </c>
      <c r="AD24" s="10" t="s">
        <v>40</v>
      </c>
      <c r="AE24" s="10" t="s">
        <v>40</v>
      </c>
    </row>
    <row r="25" spans="1:31" s="10" customFormat="1" x14ac:dyDescent="0.25">
      <c r="A25" s="10" t="s">
        <v>126</v>
      </c>
      <c r="B25" s="10" t="s">
        <v>215</v>
      </c>
      <c r="C25" s="10" t="s">
        <v>40</v>
      </c>
      <c r="D25" s="11" t="s">
        <v>42</v>
      </c>
      <c r="E25" s="12">
        <v>22848</v>
      </c>
      <c r="F25" s="10" t="s">
        <v>40</v>
      </c>
      <c r="G25" s="11" t="s">
        <v>40</v>
      </c>
      <c r="H25" s="10" t="s">
        <v>43</v>
      </c>
      <c r="I25" s="10" t="s">
        <v>216</v>
      </c>
      <c r="J25" s="10" t="s">
        <v>217</v>
      </c>
      <c r="K25" s="10" t="s">
        <v>46</v>
      </c>
      <c r="L25" s="10" t="s">
        <v>47</v>
      </c>
      <c r="M25" s="10" t="s">
        <v>48</v>
      </c>
      <c r="N25" s="10" t="s">
        <v>49</v>
      </c>
      <c r="O25" s="12" t="s">
        <v>40</v>
      </c>
      <c r="P25" s="12">
        <v>21762</v>
      </c>
      <c r="Q25" s="12">
        <v>0</v>
      </c>
      <c r="R25" s="12">
        <v>543</v>
      </c>
      <c r="S25" s="12">
        <v>543</v>
      </c>
      <c r="T25" s="12">
        <v>0</v>
      </c>
      <c r="U25" s="12">
        <v>1086</v>
      </c>
      <c r="V25" s="10" t="s">
        <v>49</v>
      </c>
      <c r="W25" s="10" t="s">
        <v>53</v>
      </c>
      <c r="X25" s="10" t="s">
        <v>54</v>
      </c>
      <c r="Y25" s="10" t="s">
        <v>55</v>
      </c>
      <c r="Z25" s="10" t="s">
        <v>56</v>
      </c>
      <c r="AA25" s="10" t="s">
        <v>40</v>
      </c>
      <c r="AB25" s="10" t="s">
        <v>57</v>
      </c>
      <c r="AC25" s="10" t="s">
        <v>40</v>
      </c>
      <c r="AD25" s="10" t="s">
        <v>40</v>
      </c>
      <c r="AE25" s="10" t="s">
        <v>40</v>
      </c>
    </row>
    <row r="26" spans="1:31" s="10" customFormat="1" x14ac:dyDescent="0.25">
      <c r="A26" s="10" t="s">
        <v>93</v>
      </c>
      <c r="B26" s="10" t="s">
        <v>218</v>
      </c>
      <c r="C26" s="10" t="s">
        <v>40</v>
      </c>
      <c r="D26" s="11" t="s">
        <v>42</v>
      </c>
      <c r="E26" s="12">
        <v>11309</v>
      </c>
      <c r="F26" s="10" t="s">
        <v>40</v>
      </c>
      <c r="G26" s="11" t="s">
        <v>40</v>
      </c>
      <c r="H26" s="10" t="s">
        <v>219</v>
      </c>
      <c r="I26" s="10" t="s">
        <v>216</v>
      </c>
      <c r="J26" s="10" t="s">
        <v>217</v>
      </c>
      <c r="K26" s="10" t="s">
        <v>46</v>
      </c>
      <c r="L26" s="10" t="s">
        <v>47</v>
      </c>
      <c r="M26" s="10" t="s">
        <v>220</v>
      </c>
      <c r="N26" s="10" t="s">
        <v>49</v>
      </c>
      <c r="O26" s="12" t="s">
        <v>40</v>
      </c>
      <c r="P26" s="12">
        <v>10771</v>
      </c>
      <c r="Q26" s="12">
        <v>0</v>
      </c>
      <c r="R26" s="12">
        <v>269</v>
      </c>
      <c r="S26" s="12">
        <v>269</v>
      </c>
      <c r="T26" s="12">
        <v>0</v>
      </c>
      <c r="U26" s="12">
        <v>538</v>
      </c>
      <c r="V26" s="10" t="s">
        <v>49</v>
      </c>
      <c r="W26" s="10" t="s">
        <v>53</v>
      </c>
      <c r="X26" s="10" t="s">
        <v>54</v>
      </c>
      <c r="Y26" s="10" t="s">
        <v>55</v>
      </c>
      <c r="Z26" s="10" t="s">
        <v>56</v>
      </c>
      <c r="AA26" s="10" t="s">
        <v>40</v>
      </c>
      <c r="AB26" s="10" t="s">
        <v>57</v>
      </c>
      <c r="AC26" s="10" t="s">
        <v>40</v>
      </c>
      <c r="AD26" s="10" t="s">
        <v>40</v>
      </c>
      <c r="AE26" s="10" t="s">
        <v>40</v>
      </c>
    </row>
    <row r="27" spans="1:31" x14ac:dyDescent="0.25">
      <c r="A27" t="s">
        <v>130</v>
      </c>
      <c r="B27" t="s">
        <v>221</v>
      </c>
      <c r="C27" t="s">
        <v>40</v>
      </c>
      <c r="D27" s="1" t="s">
        <v>121</v>
      </c>
      <c r="E27" s="2">
        <v>1575</v>
      </c>
      <c r="F27" t="s">
        <v>40</v>
      </c>
      <c r="G27" s="1" t="s">
        <v>40</v>
      </c>
      <c r="H27" t="s">
        <v>43</v>
      </c>
      <c r="I27" t="s">
        <v>190</v>
      </c>
      <c r="J27" t="s">
        <v>76</v>
      </c>
      <c r="K27" t="s">
        <v>46</v>
      </c>
      <c r="L27" t="s">
        <v>77</v>
      </c>
      <c r="M27" t="s">
        <v>48</v>
      </c>
      <c r="N27" t="s">
        <v>49</v>
      </c>
      <c r="O27" s="2" t="s">
        <v>40</v>
      </c>
      <c r="P27" s="2">
        <v>1500</v>
      </c>
      <c r="Q27" s="2">
        <v>75</v>
      </c>
      <c r="R27" s="2">
        <v>0</v>
      </c>
      <c r="S27" s="2">
        <v>0</v>
      </c>
      <c r="T27" s="2">
        <v>0</v>
      </c>
      <c r="U27" s="2">
        <v>75</v>
      </c>
      <c r="V27" t="s">
        <v>49</v>
      </c>
      <c r="W27" t="s">
        <v>53</v>
      </c>
      <c r="X27" t="s">
        <v>54</v>
      </c>
      <c r="Y27" t="s">
        <v>191</v>
      </c>
      <c r="Z27" t="s">
        <v>56</v>
      </c>
      <c r="AA27" t="s">
        <v>40</v>
      </c>
      <c r="AB27" t="s">
        <v>57</v>
      </c>
      <c r="AC27" t="s">
        <v>40</v>
      </c>
      <c r="AD27" t="s">
        <v>40</v>
      </c>
      <c r="AE27" t="s">
        <v>40</v>
      </c>
    </row>
    <row r="28" spans="1:31" x14ac:dyDescent="0.25">
      <c r="A28" t="s">
        <v>133</v>
      </c>
      <c r="B28" t="s">
        <v>222</v>
      </c>
      <c r="C28" t="s">
        <v>40</v>
      </c>
      <c r="D28" s="1" t="s">
        <v>121</v>
      </c>
      <c r="E28" s="2">
        <v>3150</v>
      </c>
      <c r="F28" t="s">
        <v>40</v>
      </c>
      <c r="G28" s="1" t="s">
        <v>40</v>
      </c>
      <c r="H28" t="s">
        <v>43</v>
      </c>
      <c r="I28" t="s">
        <v>190</v>
      </c>
      <c r="J28" t="s">
        <v>76</v>
      </c>
      <c r="K28" t="s">
        <v>46</v>
      </c>
      <c r="L28" t="s">
        <v>77</v>
      </c>
      <c r="M28" t="s">
        <v>48</v>
      </c>
      <c r="N28" t="s">
        <v>49</v>
      </c>
      <c r="O28" s="2" t="s">
        <v>40</v>
      </c>
      <c r="P28" s="2">
        <v>3000</v>
      </c>
      <c r="Q28" s="2">
        <v>150</v>
      </c>
      <c r="R28" s="2">
        <v>0</v>
      </c>
      <c r="S28" s="2">
        <v>0</v>
      </c>
      <c r="T28" s="2">
        <v>0</v>
      </c>
      <c r="U28" s="2">
        <v>150</v>
      </c>
      <c r="V28" t="s">
        <v>49</v>
      </c>
      <c r="W28" t="s">
        <v>53</v>
      </c>
      <c r="X28" t="s">
        <v>54</v>
      </c>
      <c r="Y28" t="s">
        <v>191</v>
      </c>
      <c r="Z28" t="s">
        <v>56</v>
      </c>
      <c r="AA28" t="s">
        <v>40</v>
      </c>
      <c r="AB28" t="s">
        <v>57</v>
      </c>
      <c r="AC28" t="s">
        <v>40</v>
      </c>
      <c r="AD28" t="s">
        <v>40</v>
      </c>
      <c r="AE28" t="s">
        <v>40</v>
      </c>
    </row>
    <row r="29" spans="1:31" x14ac:dyDescent="0.25">
      <c r="A29" t="s">
        <v>135</v>
      </c>
      <c r="B29" t="s">
        <v>223</v>
      </c>
      <c r="C29" t="s">
        <v>40</v>
      </c>
      <c r="D29" s="1" t="s">
        <v>121</v>
      </c>
      <c r="E29" s="2">
        <v>1890</v>
      </c>
      <c r="F29" t="s">
        <v>40</v>
      </c>
      <c r="G29" s="1" t="s">
        <v>40</v>
      </c>
      <c r="H29" t="s">
        <v>43</v>
      </c>
      <c r="I29" t="s">
        <v>190</v>
      </c>
      <c r="J29" t="s">
        <v>76</v>
      </c>
      <c r="K29" t="s">
        <v>46</v>
      </c>
      <c r="L29" t="s">
        <v>77</v>
      </c>
      <c r="M29" t="s">
        <v>48</v>
      </c>
      <c r="N29" t="s">
        <v>49</v>
      </c>
      <c r="O29" s="2" t="s">
        <v>40</v>
      </c>
      <c r="P29" s="2">
        <v>1800</v>
      </c>
      <c r="Q29" s="2">
        <v>90</v>
      </c>
      <c r="R29" s="2">
        <v>0</v>
      </c>
      <c r="S29" s="2">
        <v>0</v>
      </c>
      <c r="T29" s="2">
        <v>0</v>
      </c>
      <c r="U29" s="2">
        <v>90</v>
      </c>
      <c r="V29" t="s">
        <v>49</v>
      </c>
      <c r="W29" t="s">
        <v>53</v>
      </c>
      <c r="X29" t="s">
        <v>54</v>
      </c>
      <c r="Y29" t="s">
        <v>191</v>
      </c>
      <c r="Z29" t="s">
        <v>56</v>
      </c>
      <c r="AA29" t="s">
        <v>40</v>
      </c>
      <c r="AB29" t="s">
        <v>57</v>
      </c>
      <c r="AC29" t="s">
        <v>40</v>
      </c>
      <c r="AD29" t="s">
        <v>40</v>
      </c>
      <c r="AE29" t="s">
        <v>40</v>
      </c>
    </row>
    <row r="30" spans="1:31" x14ac:dyDescent="0.25">
      <c r="A30" t="s">
        <v>89</v>
      </c>
      <c r="B30" t="s">
        <v>224</v>
      </c>
      <c r="C30" t="s">
        <v>40</v>
      </c>
      <c r="D30" s="1" t="s">
        <v>121</v>
      </c>
      <c r="E30" s="2">
        <v>3150</v>
      </c>
      <c r="F30" t="s">
        <v>40</v>
      </c>
      <c r="G30" s="1" t="s">
        <v>40</v>
      </c>
      <c r="H30" t="s">
        <v>43</v>
      </c>
      <c r="I30" t="s">
        <v>190</v>
      </c>
      <c r="J30" t="s">
        <v>76</v>
      </c>
      <c r="K30" t="s">
        <v>46</v>
      </c>
      <c r="L30" t="s">
        <v>77</v>
      </c>
      <c r="M30" t="s">
        <v>48</v>
      </c>
      <c r="N30" t="s">
        <v>49</v>
      </c>
      <c r="O30" s="2" t="s">
        <v>40</v>
      </c>
      <c r="P30" s="2">
        <v>3000</v>
      </c>
      <c r="Q30" s="2">
        <v>150</v>
      </c>
      <c r="R30" s="2">
        <v>0</v>
      </c>
      <c r="S30" s="2">
        <v>0</v>
      </c>
      <c r="T30" s="2">
        <v>0</v>
      </c>
      <c r="U30" s="2">
        <v>150</v>
      </c>
      <c r="V30" t="s">
        <v>49</v>
      </c>
      <c r="W30" t="s">
        <v>53</v>
      </c>
      <c r="X30" t="s">
        <v>54</v>
      </c>
      <c r="Y30" t="s">
        <v>191</v>
      </c>
      <c r="Z30" t="s">
        <v>56</v>
      </c>
      <c r="AA30" t="s">
        <v>40</v>
      </c>
      <c r="AB30" t="s">
        <v>57</v>
      </c>
      <c r="AC30" t="s">
        <v>40</v>
      </c>
      <c r="AD30" t="s">
        <v>40</v>
      </c>
      <c r="AE30" t="s">
        <v>40</v>
      </c>
    </row>
    <row r="31" spans="1:31" x14ac:dyDescent="0.25">
      <c r="A31" t="s">
        <v>139</v>
      </c>
      <c r="B31" t="s">
        <v>225</v>
      </c>
      <c r="C31" t="s">
        <v>40</v>
      </c>
      <c r="D31" s="1" t="s">
        <v>129</v>
      </c>
      <c r="E31" s="2">
        <v>2940</v>
      </c>
      <c r="F31" t="s">
        <v>40</v>
      </c>
      <c r="G31" s="1" t="s">
        <v>40</v>
      </c>
      <c r="H31" t="s">
        <v>43</v>
      </c>
      <c r="I31" t="s">
        <v>190</v>
      </c>
      <c r="J31" t="s">
        <v>76</v>
      </c>
      <c r="K31" t="s">
        <v>46</v>
      </c>
      <c r="L31" t="s">
        <v>77</v>
      </c>
      <c r="M31" t="s">
        <v>48</v>
      </c>
      <c r="N31" t="s">
        <v>49</v>
      </c>
      <c r="O31" s="2" t="s">
        <v>40</v>
      </c>
      <c r="P31" s="2">
        <v>2800</v>
      </c>
      <c r="Q31" s="2">
        <v>140</v>
      </c>
      <c r="R31" s="2">
        <v>0</v>
      </c>
      <c r="S31" s="2">
        <v>0</v>
      </c>
      <c r="T31" s="2">
        <v>0</v>
      </c>
      <c r="U31" s="2">
        <v>140</v>
      </c>
      <c r="V31" t="s">
        <v>49</v>
      </c>
      <c r="W31" t="s">
        <v>53</v>
      </c>
      <c r="X31" t="s">
        <v>54</v>
      </c>
      <c r="Y31" t="s">
        <v>191</v>
      </c>
      <c r="Z31" t="s">
        <v>56</v>
      </c>
      <c r="AA31" t="s">
        <v>40</v>
      </c>
      <c r="AB31" t="s">
        <v>57</v>
      </c>
      <c r="AC31" t="s">
        <v>40</v>
      </c>
      <c r="AD31" t="s">
        <v>40</v>
      </c>
      <c r="AE31" t="s">
        <v>40</v>
      </c>
    </row>
    <row r="32" spans="1:31" s="10" customFormat="1" x14ac:dyDescent="0.25">
      <c r="A32" s="10" t="s">
        <v>145</v>
      </c>
      <c r="B32" s="10" t="s">
        <v>226</v>
      </c>
      <c r="C32" s="10" t="s">
        <v>40</v>
      </c>
      <c r="D32" s="11" t="s">
        <v>227</v>
      </c>
      <c r="E32" s="12">
        <v>1036</v>
      </c>
      <c r="F32" s="10" t="s">
        <v>40</v>
      </c>
      <c r="G32" s="11" t="s">
        <v>40</v>
      </c>
      <c r="H32" s="10" t="s">
        <v>43</v>
      </c>
      <c r="I32" s="10" t="s">
        <v>213</v>
      </c>
      <c r="J32" s="10" t="s">
        <v>214</v>
      </c>
      <c r="K32" s="10" t="s">
        <v>46</v>
      </c>
      <c r="L32" s="10" t="s">
        <v>77</v>
      </c>
      <c r="M32" s="10" t="s">
        <v>48</v>
      </c>
      <c r="N32" s="10" t="s">
        <v>49</v>
      </c>
      <c r="O32" s="12" t="s">
        <v>40</v>
      </c>
      <c r="P32" s="12">
        <v>877.97</v>
      </c>
      <c r="Q32" s="12">
        <v>158.03</v>
      </c>
      <c r="R32" s="12">
        <v>0</v>
      </c>
      <c r="S32" s="12">
        <v>0</v>
      </c>
      <c r="T32" s="12">
        <v>0</v>
      </c>
      <c r="U32" s="12">
        <v>158.03</v>
      </c>
      <c r="V32" s="10" t="s">
        <v>49</v>
      </c>
      <c r="W32" s="10" t="s">
        <v>53</v>
      </c>
      <c r="X32" s="10" t="s">
        <v>54</v>
      </c>
      <c r="Y32" s="10" t="s">
        <v>55</v>
      </c>
      <c r="Z32" s="10" t="s">
        <v>56</v>
      </c>
      <c r="AA32" s="10" t="s">
        <v>40</v>
      </c>
      <c r="AB32" s="10" t="s">
        <v>57</v>
      </c>
      <c r="AC32" s="10" t="s">
        <v>40</v>
      </c>
      <c r="AD32" s="10" t="s">
        <v>40</v>
      </c>
      <c r="AE32" s="10" t="s">
        <v>40</v>
      </c>
    </row>
    <row r="33" spans="1:31" s="10" customFormat="1" x14ac:dyDescent="0.25">
      <c r="A33" s="10" t="s">
        <v>150</v>
      </c>
      <c r="B33" s="10" t="s">
        <v>228</v>
      </c>
      <c r="C33" s="10" t="s">
        <v>40</v>
      </c>
      <c r="D33" s="11" t="s">
        <v>227</v>
      </c>
      <c r="E33" s="12">
        <v>10185</v>
      </c>
      <c r="F33" s="10" t="s">
        <v>40</v>
      </c>
      <c r="G33" s="11" t="s">
        <v>40</v>
      </c>
      <c r="H33" s="10" t="s">
        <v>43</v>
      </c>
      <c r="I33" s="10" t="s">
        <v>216</v>
      </c>
      <c r="J33" s="10" t="s">
        <v>217</v>
      </c>
      <c r="K33" s="10" t="s">
        <v>46</v>
      </c>
      <c r="L33" s="10" t="s">
        <v>47</v>
      </c>
      <c r="M33" s="10" t="s">
        <v>48</v>
      </c>
      <c r="N33" s="10" t="s">
        <v>49</v>
      </c>
      <c r="O33" s="12" t="s">
        <v>40</v>
      </c>
      <c r="P33" s="12">
        <v>9701</v>
      </c>
      <c r="Q33" s="12">
        <v>0</v>
      </c>
      <c r="R33" s="12">
        <v>242</v>
      </c>
      <c r="S33" s="12">
        <v>242</v>
      </c>
      <c r="T33" s="12">
        <v>0</v>
      </c>
      <c r="U33" s="12">
        <v>484</v>
      </c>
      <c r="V33" s="10" t="s">
        <v>49</v>
      </c>
      <c r="W33" s="10" t="s">
        <v>53</v>
      </c>
      <c r="X33" s="10" t="s">
        <v>54</v>
      </c>
      <c r="Y33" s="10" t="s">
        <v>55</v>
      </c>
      <c r="Z33" s="10" t="s">
        <v>56</v>
      </c>
      <c r="AA33" s="10" t="s">
        <v>40</v>
      </c>
      <c r="AB33" s="10" t="s">
        <v>57</v>
      </c>
      <c r="AC33" s="10" t="s">
        <v>40</v>
      </c>
      <c r="AD33" s="10" t="s">
        <v>40</v>
      </c>
      <c r="AE33" s="10" t="s">
        <v>40</v>
      </c>
    </row>
    <row r="34" spans="1:31" x14ac:dyDescent="0.25">
      <c r="A34" t="s">
        <v>155</v>
      </c>
      <c r="B34" t="s">
        <v>229</v>
      </c>
      <c r="C34" t="s">
        <v>40</v>
      </c>
      <c r="D34" s="1" t="s">
        <v>132</v>
      </c>
      <c r="E34" s="2">
        <v>2940</v>
      </c>
      <c r="F34" t="s">
        <v>40</v>
      </c>
      <c r="G34" s="1" t="s">
        <v>40</v>
      </c>
      <c r="H34" t="s">
        <v>43</v>
      </c>
      <c r="I34" t="s">
        <v>190</v>
      </c>
      <c r="J34" t="s">
        <v>76</v>
      </c>
      <c r="K34" t="s">
        <v>46</v>
      </c>
      <c r="L34" t="s">
        <v>77</v>
      </c>
      <c r="M34" t="s">
        <v>48</v>
      </c>
      <c r="N34" t="s">
        <v>49</v>
      </c>
      <c r="O34" s="2" t="s">
        <v>40</v>
      </c>
      <c r="P34" s="2">
        <v>2800</v>
      </c>
      <c r="Q34" s="2">
        <v>140</v>
      </c>
      <c r="R34" s="2">
        <v>0</v>
      </c>
      <c r="S34" s="2">
        <v>0</v>
      </c>
      <c r="T34" s="2">
        <v>0</v>
      </c>
      <c r="U34" s="2">
        <v>140</v>
      </c>
      <c r="V34" t="s">
        <v>49</v>
      </c>
      <c r="W34" t="s">
        <v>53</v>
      </c>
      <c r="X34" t="s">
        <v>54</v>
      </c>
      <c r="Y34" t="s">
        <v>191</v>
      </c>
      <c r="Z34" t="s">
        <v>56</v>
      </c>
      <c r="AA34" t="s">
        <v>40</v>
      </c>
      <c r="AB34" t="s">
        <v>57</v>
      </c>
      <c r="AC34" t="s">
        <v>40</v>
      </c>
      <c r="AD34" t="s">
        <v>40</v>
      </c>
      <c r="AE34" t="s">
        <v>40</v>
      </c>
    </row>
    <row r="35" spans="1:31" x14ac:dyDescent="0.25">
      <c r="A35" t="s">
        <v>157</v>
      </c>
      <c r="B35" t="s">
        <v>230</v>
      </c>
      <c r="C35" t="s">
        <v>40</v>
      </c>
      <c r="D35" s="1" t="s">
        <v>132</v>
      </c>
      <c r="E35" s="2">
        <v>5880</v>
      </c>
      <c r="F35" t="s">
        <v>40</v>
      </c>
      <c r="G35" s="1" t="s">
        <v>40</v>
      </c>
      <c r="H35" t="s">
        <v>43</v>
      </c>
      <c r="I35" t="s">
        <v>190</v>
      </c>
      <c r="J35" t="s">
        <v>76</v>
      </c>
      <c r="K35" t="s">
        <v>46</v>
      </c>
      <c r="L35" t="s">
        <v>77</v>
      </c>
      <c r="M35" t="s">
        <v>48</v>
      </c>
      <c r="N35" t="s">
        <v>49</v>
      </c>
      <c r="O35" s="2" t="s">
        <v>40</v>
      </c>
      <c r="P35" s="2">
        <v>5600</v>
      </c>
      <c r="Q35" s="2">
        <v>280</v>
      </c>
      <c r="R35" s="2">
        <v>0</v>
      </c>
      <c r="S35" s="2">
        <v>0</v>
      </c>
      <c r="T35" s="2">
        <v>0</v>
      </c>
      <c r="U35" s="2">
        <v>280</v>
      </c>
      <c r="V35" t="s">
        <v>49</v>
      </c>
      <c r="W35" t="s">
        <v>53</v>
      </c>
      <c r="X35" t="s">
        <v>54</v>
      </c>
      <c r="Y35" t="s">
        <v>191</v>
      </c>
      <c r="Z35" t="s">
        <v>56</v>
      </c>
      <c r="AA35" t="s">
        <v>40</v>
      </c>
      <c r="AB35" t="s">
        <v>57</v>
      </c>
      <c r="AC35" t="s">
        <v>40</v>
      </c>
      <c r="AD35" t="s">
        <v>40</v>
      </c>
      <c r="AE35" t="s">
        <v>40</v>
      </c>
    </row>
    <row r="36" spans="1:31" x14ac:dyDescent="0.25">
      <c r="A36" t="s">
        <v>160</v>
      </c>
      <c r="B36" t="s">
        <v>231</v>
      </c>
      <c r="C36" t="s">
        <v>40</v>
      </c>
      <c r="D36" s="1" t="s">
        <v>132</v>
      </c>
      <c r="E36" s="2">
        <v>6615</v>
      </c>
      <c r="F36" t="s">
        <v>40</v>
      </c>
      <c r="G36" s="1" t="s">
        <v>40</v>
      </c>
      <c r="H36" t="s">
        <v>43</v>
      </c>
      <c r="I36" t="s">
        <v>190</v>
      </c>
      <c r="J36" t="s">
        <v>76</v>
      </c>
      <c r="K36" t="s">
        <v>46</v>
      </c>
      <c r="L36" t="s">
        <v>77</v>
      </c>
      <c r="M36" t="s">
        <v>48</v>
      </c>
      <c r="N36" t="s">
        <v>49</v>
      </c>
      <c r="O36" s="2" t="s">
        <v>40</v>
      </c>
      <c r="P36" s="2">
        <v>6300</v>
      </c>
      <c r="Q36" s="2">
        <v>315</v>
      </c>
      <c r="R36" s="2">
        <v>0</v>
      </c>
      <c r="S36" s="2">
        <v>0</v>
      </c>
      <c r="T36" s="2">
        <v>0</v>
      </c>
      <c r="U36" s="2">
        <v>315</v>
      </c>
      <c r="V36" t="s">
        <v>49</v>
      </c>
      <c r="W36" t="s">
        <v>53</v>
      </c>
      <c r="X36" t="s">
        <v>54</v>
      </c>
      <c r="Y36" t="s">
        <v>191</v>
      </c>
      <c r="Z36" t="s">
        <v>56</v>
      </c>
      <c r="AA36" t="s">
        <v>40</v>
      </c>
      <c r="AB36" t="s">
        <v>57</v>
      </c>
      <c r="AC36" t="s">
        <v>40</v>
      </c>
      <c r="AD36" t="s">
        <v>40</v>
      </c>
      <c r="AE36" t="s">
        <v>40</v>
      </c>
    </row>
    <row r="37" spans="1:31" x14ac:dyDescent="0.25">
      <c r="A37" t="s">
        <v>162</v>
      </c>
      <c r="B37" t="s">
        <v>232</v>
      </c>
      <c r="C37" t="s">
        <v>40</v>
      </c>
      <c r="D37" s="1" t="s">
        <v>91</v>
      </c>
      <c r="E37" s="2">
        <v>39000</v>
      </c>
      <c r="F37" t="s">
        <v>40</v>
      </c>
      <c r="G37" s="1" t="s">
        <v>40</v>
      </c>
      <c r="H37" t="s">
        <v>43</v>
      </c>
      <c r="I37" t="s">
        <v>185</v>
      </c>
      <c r="J37" t="s">
        <v>186</v>
      </c>
      <c r="K37" t="s">
        <v>46</v>
      </c>
      <c r="L37" t="s">
        <v>47</v>
      </c>
      <c r="M37" t="s">
        <v>48</v>
      </c>
      <c r="N37" t="s">
        <v>49</v>
      </c>
      <c r="O37" s="2" t="s">
        <v>40</v>
      </c>
      <c r="P37" s="2">
        <v>37142.9</v>
      </c>
      <c r="Q37" s="2">
        <v>0</v>
      </c>
      <c r="R37" s="2">
        <v>928.57</v>
      </c>
      <c r="S37" s="2">
        <v>928.57</v>
      </c>
      <c r="T37" s="2">
        <v>0</v>
      </c>
      <c r="U37" s="2">
        <v>1857.14</v>
      </c>
      <c r="V37" t="s">
        <v>49</v>
      </c>
      <c r="W37" t="s">
        <v>53</v>
      </c>
      <c r="X37" t="s">
        <v>54</v>
      </c>
      <c r="Y37" t="s">
        <v>202</v>
      </c>
      <c r="Z37" t="s">
        <v>56</v>
      </c>
      <c r="AA37" t="s">
        <v>40</v>
      </c>
      <c r="AB37" t="s">
        <v>57</v>
      </c>
      <c r="AC37" t="s">
        <v>40</v>
      </c>
      <c r="AD37" t="s">
        <v>40</v>
      </c>
      <c r="AE37" t="s">
        <v>40</v>
      </c>
    </row>
    <row r="38" spans="1:31" x14ac:dyDescent="0.25">
      <c r="A38" t="s">
        <v>165</v>
      </c>
      <c r="B38" t="s">
        <v>233</v>
      </c>
      <c r="C38" t="s">
        <v>40</v>
      </c>
      <c r="D38" s="1" t="s">
        <v>91</v>
      </c>
      <c r="E38" s="2">
        <v>5250</v>
      </c>
      <c r="F38" t="s">
        <v>40</v>
      </c>
      <c r="G38" s="1" t="s">
        <v>40</v>
      </c>
      <c r="H38" t="s">
        <v>43</v>
      </c>
      <c r="I38" t="s">
        <v>190</v>
      </c>
      <c r="J38" t="s">
        <v>76</v>
      </c>
      <c r="K38" t="s">
        <v>46</v>
      </c>
      <c r="L38" t="s">
        <v>77</v>
      </c>
      <c r="M38" t="s">
        <v>48</v>
      </c>
      <c r="N38" t="s">
        <v>49</v>
      </c>
      <c r="O38" s="2" t="s">
        <v>40</v>
      </c>
      <c r="P38" s="2">
        <v>5000</v>
      </c>
      <c r="Q38" s="2">
        <v>250</v>
      </c>
      <c r="R38" s="2">
        <v>0</v>
      </c>
      <c r="S38" s="2">
        <v>0</v>
      </c>
      <c r="T38" s="2">
        <v>0</v>
      </c>
      <c r="U38" s="2">
        <v>250</v>
      </c>
      <c r="V38" t="s">
        <v>49</v>
      </c>
      <c r="W38" t="s">
        <v>53</v>
      </c>
      <c r="X38" t="s">
        <v>54</v>
      </c>
      <c r="Y38" t="s">
        <v>191</v>
      </c>
      <c r="Z38" t="s">
        <v>56</v>
      </c>
      <c r="AA38" t="s">
        <v>40</v>
      </c>
      <c r="AB38" t="s">
        <v>57</v>
      </c>
      <c r="AC38" t="s">
        <v>40</v>
      </c>
      <c r="AD38" t="s">
        <v>40</v>
      </c>
      <c r="AE38" t="s">
        <v>40</v>
      </c>
    </row>
    <row r="39" spans="1:31" x14ac:dyDescent="0.25">
      <c r="A39" t="s">
        <v>167</v>
      </c>
      <c r="B39" t="s">
        <v>234</v>
      </c>
      <c r="C39" t="s">
        <v>40</v>
      </c>
      <c r="D39" s="1" t="s">
        <v>91</v>
      </c>
      <c r="E39" s="2">
        <v>2625</v>
      </c>
      <c r="F39" t="s">
        <v>40</v>
      </c>
      <c r="G39" s="1" t="s">
        <v>40</v>
      </c>
      <c r="H39" t="s">
        <v>43</v>
      </c>
      <c r="I39" t="s">
        <v>190</v>
      </c>
      <c r="J39" t="s">
        <v>76</v>
      </c>
      <c r="K39" t="s">
        <v>46</v>
      </c>
      <c r="L39" t="s">
        <v>77</v>
      </c>
      <c r="M39" t="s">
        <v>48</v>
      </c>
      <c r="N39" t="s">
        <v>49</v>
      </c>
      <c r="O39" s="2" t="s">
        <v>40</v>
      </c>
      <c r="P39" s="2">
        <v>2500</v>
      </c>
      <c r="Q39" s="2">
        <v>125</v>
      </c>
      <c r="R39" s="2">
        <v>0</v>
      </c>
      <c r="S39" s="2">
        <v>0</v>
      </c>
      <c r="T39" s="2">
        <v>0</v>
      </c>
      <c r="U39" s="2">
        <v>125</v>
      </c>
      <c r="V39" t="s">
        <v>49</v>
      </c>
      <c r="W39" t="s">
        <v>53</v>
      </c>
      <c r="X39" t="s">
        <v>54</v>
      </c>
      <c r="Y39" t="s">
        <v>191</v>
      </c>
      <c r="Z39" t="s">
        <v>56</v>
      </c>
      <c r="AA39" t="s">
        <v>40</v>
      </c>
      <c r="AB39" t="s">
        <v>57</v>
      </c>
      <c r="AC39" t="s">
        <v>40</v>
      </c>
      <c r="AD39" t="s">
        <v>40</v>
      </c>
      <c r="AE39" t="s">
        <v>40</v>
      </c>
    </row>
    <row r="40" spans="1:31" x14ac:dyDescent="0.25">
      <c r="A40" t="s">
        <v>169</v>
      </c>
      <c r="B40" t="s">
        <v>235</v>
      </c>
      <c r="C40" t="s">
        <v>40</v>
      </c>
      <c r="D40" s="1" t="s">
        <v>236</v>
      </c>
      <c r="E40" s="2">
        <v>3990</v>
      </c>
      <c r="F40" t="s">
        <v>40</v>
      </c>
      <c r="G40" s="1" t="s">
        <v>40</v>
      </c>
      <c r="H40" t="s">
        <v>43</v>
      </c>
      <c r="I40" t="s">
        <v>190</v>
      </c>
      <c r="J40" t="s">
        <v>76</v>
      </c>
      <c r="K40" t="s">
        <v>46</v>
      </c>
      <c r="L40" t="s">
        <v>77</v>
      </c>
      <c r="M40" t="s">
        <v>48</v>
      </c>
      <c r="N40" t="s">
        <v>49</v>
      </c>
      <c r="O40" s="2" t="s">
        <v>40</v>
      </c>
      <c r="P40" s="2">
        <v>3800</v>
      </c>
      <c r="Q40" s="2">
        <v>190</v>
      </c>
      <c r="R40" s="2">
        <v>0</v>
      </c>
      <c r="S40" s="2">
        <v>0</v>
      </c>
      <c r="T40" s="2">
        <v>0</v>
      </c>
      <c r="U40" s="2">
        <v>190</v>
      </c>
      <c r="V40" t="s">
        <v>49</v>
      </c>
      <c r="W40" t="s">
        <v>53</v>
      </c>
      <c r="X40" t="s">
        <v>54</v>
      </c>
      <c r="Y40" t="s">
        <v>191</v>
      </c>
      <c r="Z40" t="s">
        <v>56</v>
      </c>
      <c r="AA40" t="s">
        <v>40</v>
      </c>
      <c r="AB40" t="s">
        <v>57</v>
      </c>
      <c r="AC40" t="s">
        <v>40</v>
      </c>
      <c r="AD40" t="s">
        <v>40</v>
      </c>
      <c r="AE40" t="s">
        <v>40</v>
      </c>
    </row>
    <row r="41" spans="1:31" s="10" customFormat="1" x14ac:dyDescent="0.25">
      <c r="A41" s="10" t="s">
        <v>172</v>
      </c>
      <c r="B41" s="10" t="s">
        <v>237</v>
      </c>
      <c r="C41" s="10" t="s">
        <v>40</v>
      </c>
      <c r="D41" s="11" t="s">
        <v>238</v>
      </c>
      <c r="E41" s="12">
        <v>7.08</v>
      </c>
      <c r="F41" s="10" t="s">
        <v>40</v>
      </c>
      <c r="G41" s="11" t="s">
        <v>40</v>
      </c>
      <c r="H41" s="10" t="s">
        <v>43</v>
      </c>
      <c r="I41" s="10" t="s">
        <v>239</v>
      </c>
      <c r="J41" s="10" t="s">
        <v>240</v>
      </c>
      <c r="K41" s="10" t="s">
        <v>46</v>
      </c>
      <c r="L41" s="10" t="s">
        <v>47</v>
      </c>
      <c r="M41" s="10" t="s">
        <v>48</v>
      </c>
      <c r="N41" s="10" t="s">
        <v>49</v>
      </c>
      <c r="O41" s="12" t="s">
        <v>40</v>
      </c>
      <c r="P41" s="12">
        <v>6</v>
      </c>
      <c r="Q41" s="12">
        <v>0</v>
      </c>
      <c r="R41" s="12">
        <v>0.54</v>
      </c>
      <c r="S41" s="12">
        <v>0.54</v>
      </c>
      <c r="T41" s="12">
        <v>0</v>
      </c>
      <c r="U41" s="12">
        <v>1.08</v>
      </c>
      <c r="V41" s="10" t="s">
        <v>49</v>
      </c>
      <c r="W41" s="10" t="s">
        <v>53</v>
      </c>
      <c r="X41" s="10" t="s">
        <v>54</v>
      </c>
      <c r="Y41" s="10" t="s">
        <v>55</v>
      </c>
      <c r="Z41" s="10" t="s">
        <v>56</v>
      </c>
      <c r="AA41" s="10" t="s">
        <v>40</v>
      </c>
      <c r="AB41" s="10" t="s">
        <v>57</v>
      </c>
      <c r="AC41" s="10" t="s">
        <v>40</v>
      </c>
      <c r="AD41" s="10" t="s">
        <v>40</v>
      </c>
      <c r="AE41" s="10" t="s">
        <v>40</v>
      </c>
    </row>
    <row r="42" spans="1:31" x14ac:dyDescent="0.25">
      <c r="A42" t="s">
        <v>174</v>
      </c>
      <c r="B42" t="s">
        <v>241</v>
      </c>
      <c r="C42" t="s">
        <v>40</v>
      </c>
      <c r="D42" s="1" t="s">
        <v>238</v>
      </c>
      <c r="E42" s="2">
        <v>2625</v>
      </c>
      <c r="F42" t="s">
        <v>40</v>
      </c>
      <c r="G42" s="1" t="s">
        <v>40</v>
      </c>
      <c r="H42" t="s">
        <v>43</v>
      </c>
      <c r="I42" t="s">
        <v>190</v>
      </c>
      <c r="J42" t="s">
        <v>76</v>
      </c>
      <c r="K42" t="s">
        <v>46</v>
      </c>
      <c r="L42" t="s">
        <v>77</v>
      </c>
      <c r="M42" t="s">
        <v>48</v>
      </c>
      <c r="N42" t="s">
        <v>49</v>
      </c>
      <c r="O42" s="2" t="s">
        <v>40</v>
      </c>
      <c r="P42" s="2">
        <v>2500</v>
      </c>
      <c r="Q42" s="2">
        <v>125</v>
      </c>
      <c r="R42" s="2">
        <v>0</v>
      </c>
      <c r="S42" s="2">
        <v>0</v>
      </c>
      <c r="T42" s="2">
        <v>0</v>
      </c>
      <c r="U42" s="2">
        <v>125</v>
      </c>
      <c r="V42" t="s">
        <v>49</v>
      </c>
      <c r="W42" t="s">
        <v>53</v>
      </c>
      <c r="X42" t="s">
        <v>54</v>
      </c>
      <c r="Y42" t="s">
        <v>191</v>
      </c>
      <c r="Z42" t="s">
        <v>56</v>
      </c>
      <c r="AA42" t="s">
        <v>40</v>
      </c>
      <c r="AB42" t="s">
        <v>57</v>
      </c>
      <c r="AC42" t="s">
        <v>40</v>
      </c>
      <c r="AD42" t="s">
        <v>40</v>
      </c>
      <c r="AE42" t="s">
        <v>40</v>
      </c>
    </row>
    <row r="43" spans="1:31" x14ac:dyDescent="0.25">
      <c r="A43" t="s">
        <v>176</v>
      </c>
      <c r="B43" t="s">
        <v>242</v>
      </c>
      <c r="C43" t="s">
        <v>40</v>
      </c>
      <c r="D43" s="1" t="s">
        <v>147</v>
      </c>
      <c r="E43" s="2">
        <v>3990</v>
      </c>
      <c r="F43" t="s">
        <v>40</v>
      </c>
      <c r="G43" s="1" t="s">
        <v>40</v>
      </c>
      <c r="H43" t="s">
        <v>43</v>
      </c>
      <c r="I43" t="s">
        <v>190</v>
      </c>
      <c r="J43" t="s">
        <v>76</v>
      </c>
      <c r="K43" t="s">
        <v>46</v>
      </c>
      <c r="L43" t="s">
        <v>77</v>
      </c>
      <c r="M43" t="s">
        <v>48</v>
      </c>
      <c r="N43" t="s">
        <v>49</v>
      </c>
      <c r="O43" s="2" t="s">
        <v>40</v>
      </c>
      <c r="P43" s="2">
        <v>3800</v>
      </c>
      <c r="Q43" s="2">
        <v>190</v>
      </c>
      <c r="R43" s="2">
        <v>0</v>
      </c>
      <c r="S43" s="2">
        <v>0</v>
      </c>
      <c r="T43" s="2">
        <v>0</v>
      </c>
      <c r="U43" s="2">
        <v>190</v>
      </c>
      <c r="V43" t="s">
        <v>49</v>
      </c>
      <c r="W43" t="s">
        <v>53</v>
      </c>
      <c r="X43" t="s">
        <v>54</v>
      </c>
      <c r="Y43" t="s">
        <v>191</v>
      </c>
      <c r="Z43" t="s">
        <v>56</v>
      </c>
      <c r="AA43" t="s">
        <v>40</v>
      </c>
      <c r="AB43" t="s">
        <v>57</v>
      </c>
      <c r="AC43" t="s">
        <v>40</v>
      </c>
      <c r="AD43" t="s">
        <v>40</v>
      </c>
      <c r="AE43" t="s">
        <v>40</v>
      </c>
    </row>
    <row r="44" spans="1:31" x14ac:dyDescent="0.25">
      <c r="A44" t="s">
        <v>179</v>
      </c>
      <c r="B44" t="s">
        <v>243</v>
      </c>
      <c r="C44" t="s">
        <v>40</v>
      </c>
      <c r="D44" s="1" t="s">
        <v>147</v>
      </c>
      <c r="E44" s="2">
        <v>3675</v>
      </c>
      <c r="F44" t="s">
        <v>40</v>
      </c>
      <c r="G44" s="1" t="s">
        <v>40</v>
      </c>
      <c r="H44" t="s">
        <v>43</v>
      </c>
      <c r="I44" t="s">
        <v>190</v>
      </c>
      <c r="J44" t="s">
        <v>76</v>
      </c>
      <c r="K44" t="s">
        <v>46</v>
      </c>
      <c r="L44" t="s">
        <v>77</v>
      </c>
      <c r="M44" t="s">
        <v>48</v>
      </c>
      <c r="N44" t="s">
        <v>49</v>
      </c>
      <c r="O44" s="2" t="s">
        <v>40</v>
      </c>
      <c r="P44" s="2">
        <v>3500</v>
      </c>
      <c r="Q44" s="2">
        <v>175</v>
      </c>
      <c r="R44" s="2">
        <v>0</v>
      </c>
      <c r="S44" s="2">
        <v>0</v>
      </c>
      <c r="T44" s="2">
        <v>0</v>
      </c>
      <c r="U44" s="2">
        <v>175</v>
      </c>
      <c r="V44" t="s">
        <v>49</v>
      </c>
      <c r="W44" t="s">
        <v>53</v>
      </c>
      <c r="X44" t="s">
        <v>54</v>
      </c>
      <c r="Y44" t="s">
        <v>191</v>
      </c>
      <c r="Z44" t="s">
        <v>56</v>
      </c>
      <c r="AA44" t="s">
        <v>40</v>
      </c>
      <c r="AB44" t="s">
        <v>57</v>
      </c>
      <c r="AC44" t="s">
        <v>40</v>
      </c>
      <c r="AD44" t="s">
        <v>40</v>
      </c>
      <c r="AE44" t="s">
        <v>40</v>
      </c>
    </row>
    <row r="45" spans="1:31" x14ac:dyDescent="0.25">
      <c r="A45" t="s">
        <v>81</v>
      </c>
      <c r="B45" t="s">
        <v>244</v>
      </c>
      <c r="C45" t="s">
        <v>40</v>
      </c>
      <c r="D45" s="1" t="s">
        <v>147</v>
      </c>
      <c r="E45" s="2">
        <v>3990</v>
      </c>
      <c r="F45" t="s">
        <v>40</v>
      </c>
      <c r="G45" s="1" t="s">
        <v>40</v>
      </c>
      <c r="H45" t="s">
        <v>43</v>
      </c>
      <c r="I45" t="s">
        <v>190</v>
      </c>
      <c r="J45" t="s">
        <v>76</v>
      </c>
      <c r="K45" t="s">
        <v>46</v>
      </c>
      <c r="L45" t="s">
        <v>77</v>
      </c>
      <c r="M45" t="s">
        <v>48</v>
      </c>
      <c r="N45" t="s">
        <v>49</v>
      </c>
      <c r="O45" s="2" t="s">
        <v>40</v>
      </c>
      <c r="P45" s="2">
        <v>3800</v>
      </c>
      <c r="Q45" s="2">
        <v>190</v>
      </c>
      <c r="R45" s="2">
        <v>0</v>
      </c>
      <c r="S45" s="2">
        <v>0</v>
      </c>
      <c r="T45" s="2">
        <v>0</v>
      </c>
      <c r="U45" s="2">
        <v>190</v>
      </c>
      <c r="V45" t="s">
        <v>49</v>
      </c>
      <c r="W45" t="s">
        <v>53</v>
      </c>
      <c r="X45" t="s">
        <v>54</v>
      </c>
      <c r="Y45" t="s">
        <v>191</v>
      </c>
      <c r="Z45" t="s">
        <v>56</v>
      </c>
      <c r="AA45" t="s">
        <v>40</v>
      </c>
      <c r="AB45" t="s">
        <v>57</v>
      </c>
      <c r="AC45" t="s">
        <v>40</v>
      </c>
      <c r="AD45" t="s">
        <v>40</v>
      </c>
      <c r="AE45" t="s">
        <v>40</v>
      </c>
    </row>
    <row r="46" spans="1:31" x14ac:dyDescent="0.25">
      <c r="A46" t="s">
        <v>83</v>
      </c>
      <c r="B46" t="s">
        <v>245</v>
      </c>
      <c r="C46" t="s">
        <v>40</v>
      </c>
      <c r="D46" s="1" t="s">
        <v>147</v>
      </c>
      <c r="E46" s="2">
        <v>2625</v>
      </c>
      <c r="F46" t="s">
        <v>40</v>
      </c>
      <c r="G46" s="1" t="s">
        <v>40</v>
      </c>
      <c r="H46" t="s">
        <v>43</v>
      </c>
      <c r="I46" t="s">
        <v>190</v>
      </c>
      <c r="J46" t="s">
        <v>76</v>
      </c>
      <c r="K46" t="s">
        <v>46</v>
      </c>
      <c r="L46" t="s">
        <v>77</v>
      </c>
      <c r="M46" t="s">
        <v>48</v>
      </c>
      <c r="N46" t="s">
        <v>49</v>
      </c>
      <c r="O46" s="2" t="s">
        <v>40</v>
      </c>
      <c r="P46" s="2">
        <v>2500</v>
      </c>
      <c r="Q46" s="2">
        <v>125</v>
      </c>
      <c r="R46" s="2">
        <v>0</v>
      </c>
      <c r="S46" s="2">
        <v>0</v>
      </c>
      <c r="T46" s="2">
        <v>0</v>
      </c>
      <c r="U46" s="2">
        <v>125</v>
      </c>
      <c r="V46" t="s">
        <v>49</v>
      </c>
      <c r="W46" t="s">
        <v>53</v>
      </c>
      <c r="X46" t="s">
        <v>54</v>
      </c>
      <c r="Y46" t="s">
        <v>191</v>
      </c>
      <c r="Z46" t="s">
        <v>56</v>
      </c>
      <c r="AA46" t="s">
        <v>40</v>
      </c>
      <c r="AB46" t="s">
        <v>57</v>
      </c>
      <c r="AC46" t="s">
        <v>40</v>
      </c>
      <c r="AD46" t="s">
        <v>40</v>
      </c>
      <c r="AE46" t="s">
        <v>40</v>
      </c>
    </row>
    <row r="47" spans="1:31" s="13" customFormat="1" x14ac:dyDescent="0.25">
      <c r="A47" s="13" t="s">
        <v>73</v>
      </c>
      <c r="B47" s="13" t="s">
        <v>246</v>
      </c>
      <c r="C47" s="13" t="s">
        <v>40</v>
      </c>
      <c r="D47" s="25" t="s">
        <v>147</v>
      </c>
      <c r="E47" s="26">
        <v>45675</v>
      </c>
      <c r="F47" s="13" t="s">
        <v>40</v>
      </c>
      <c r="G47" s="25" t="s">
        <v>40</v>
      </c>
      <c r="H47" s="13" t="s">
        <v>43</v>
      </c>
      <c r="I47" s="13" t="s">
        <v>190</v>
      </c>
      <c r="J47" s="13" t="s">
        <v>76</v>
      </c>
      <c r="K47" s="13" t="s">
        <v>46</v>
      </c>
      <c r="L47" s="13" t="s">
        <v>77</v>
      </c>
      <c r="M47" s="13" t="s">
        <v>48</v>
      </c>
      <c r="N47" s="13" t="s">
        <v>49</v>
      </c>
      <c r="O47" s="26" t="s">
        <v>40</v>
      </c>
      <c r="P47" s="26">
        <v>43500</v>
      </c>
      <c r="Q47" s="26">
        <v>2175</v>
      </c>
      <c r="R47" s="26">
        <v>0</v>
      </c>
      <c r="S47" s="26">
        <v>0</v>
      </c>
      <c r="T47" s="26">
        <v>0</v>
      </c>
      <c r="U47" s="26">
        <v>2175</v>
      </c>
      <c r="V47" s="13" t="s">
        <v>49</v>
      </c>
      <c r="W47" s="13" t="s">
        <v>53</v>
      </c>
      <c r="X47" s="13" t="s">
        <v>54</v>
      </c>
      <c r="Y47" s="13" t="s">
        <v>191</v>
      </c>
      <c r="Z47" s="13" t="s">
        <v>56</v>
      </c>
      <c r="AA47" s="13" t="s">
        <v>40</v>
      </c>
      <c r="AB47" s="13" t="s">
        <v>57</v>
      </c>
      <c r="AC47" s="13" t="s">
        <v>40</v>
      </c>
      <c r="AD47" s="13" t="s">
        <v>40</v>
      </c>
      <c r="AE47" s="13" t="s">
        <v>40</v>
      </c>
    </row>
    <row r="48" spans="1:31" x14ac:dyDescent="0.25">
      <c r="A48" t="s">
        <v>79</v>
      </c>
      <c r="B48" t="s">
        <v>247</v>
      </c>
      <c r="C48" t="s">
        <v>40</v>
      </c>
      <c r="D48" s="1" t="s">
        <v>159</v>
      </c>
      <c r="E48" s="2">
        <v>3675</v>
      </c>
      <c r="F48" t="s">
        <v>40</v>
      </c>
      <c r="G48" s="1" t="s">
        <v>40</v>
      </c>
      <c r="H48" t="s">
        <v>43</v>
      </c>
      <c r="I48" t="s">
        <v>190</v>
      </c>
      <c r="J48" t="s">
        <v>76</v>
      </c>
      <c r="K48" t="s">
        <v>46</v>
      </c>
      <c r="L48" t="s">
        <v>77</v>
      </c>
      <c r="M48" t="s">
        <v>48</v>
      </c>
      <c r="N48" t="s">
        <v>49</v>
      </c>
      <c r="O48" s="2" t="s">
        <v>40</v>
      </c>
      <c r="P48" s="2">
        <v>3500</v>
      </c>
      <c r="Q48" s="2">
        <v>175</v>
      </c>
      <c r="R48" s="2">
        <v>0</v>
      </c>
      <c r="S48" s="2">
        <v>0</v>
      </c>
      <c r="T48" s="2">
        <v>0</v>
      </c>
      <c r="U48" s="2">
        <v>175</v>
      </c>
      <c r="V48" t="s">
        <v>49</v>
      </c>
      <c r="W48" t="s">
        <v>53</v>
      </c>
      <c r="X48" t="s">
        <v>54</v>
      </c>
      <c r="Y48" t="s">
        <v>191</v>
      </c>
      <c r="Z48" t="s">
        <v>56</v>
      </c>
      <c r="AA48" t="s">
        <v>40</v>
      </c>
      <c r="AB48" t="s">
        <v>57</v>
      </c>
      <c r="AC48" t="s">
        <v>40</v>
      </c>
      <c r="AD48" t="s">
        <v>40</v>
      </c>
      <c r="AE48" t="s">
        <v>40</v>
      </c>
    </row>
    <row r="49" spans="1:31" x14ac:dyDescent="0.25">
      <c r="A49" t="s">
        <v>85</v>
      </c>
      <c r="B49" t="s">
        <v>248</v>
      </c>
      <c r="C49" t="s">
        <v>40</v>
      </c>
      <c r="D49" s="1" t="s">
        <v>159</v>
      </c>
      <c r="E49" s="2">
        <v>2100</v>
      </c>
      <c r="F49" t="s">
        <v>40</v>
      </c>
      <c r="G49" s="1" t="s">
        <v>40</v>
      </c>
      <c r="H49" t="s">
        <v>43</v>
      </c>
      <c r="I49" t="s">
        <v>190</v>
      </c>
      <c r="J49" t="s">
        <v>76</v>
      </c>
      <c r="K49" t="s">
        <v>46</v>
      </c>
      <c r="L49" t="s">
        <v>77</v>
      </c>
      <c r="M49" t="s">
        <v>48</v>
      </c>
      <c r="N49" t="s">
        <v>49</v>
      </c>
      <c r="O49" s="2" t="s">
        <v>40</v>
      </c>
      <c r="P49" s="2">
        <v>2000</v>
      </c>
      <c r="Q49" s="2">
        <v>100</v>
      </c>
      <c r="R49" s="2">
        <v>0</v>
      </c>
      <c r="S49" s="2">
        <v>0</v>
      </c>
      <c r="T49" s="2">
        <v>0</v>
      </c>
      <c r="U49" s="2">
        <v>100</v>
      </c>
      <c r="V49" t="s">
        <v>49</v>
      </c>
      <c r="W49" t="s">
        <v>53</v>
      </c>
      <c r="X49" t="s">
        <v>54</v>
      </c>
      <c r="Y49" t="s">
        <v>191</v>
      </c>
      <c r="Z49" t="s">
        <v>56</v>
      </c>
      <c r="AA49" t="s">
        <v>40</v>
      </c>
      <c r="AB49" t="s">
        <v>57</v>
      </c>
      <c r="AC49" t="s">
        <v>40</v>
      </c>
      <c r="AD49" t="s">
        <v>40</v>
      </c>
      <c r="AE49" t="s">
        <v>40</v>
      </c>
    </row>
    <row r="50" spans="1:31" s="13" customFormat="1" x14ac:dyDescent="0.25">
      <c r="A50" s="13" t="s">
        <v>152</v>
      </c>
      <c r="B50" s="13" t="s">
        <v>249</v>
      </c>
      <c r="C50" s="13" t="s">
        <v>40</v>
      </c>
      <c r="D50" s="25" t="s">
        <v>159</v>
      </c>
      <c r="E50" s="26">
        <v>3675</v>
      </c>
      <c r="F50" s="13" t="s">
        <v>40</v>
      </c>
      <c r="G50" s="25" t="s">
        <v>40</v>
      </c>
      <c r="H50" s="13" t="s">
        <v>43</v>
      </c>
      <c r="I50" s="13" t="s">
        <v>190</v>
      </c>
      <c r="J50" s="13" t="s">
        <v>76</v>
      </c>
      <c r="K50" s="13" t="s">
        <v>46</v>
      </c>
      <c r="L50" s="13" t="s">
        <v>77</v>
      </c>
      <c r="M50" s="13" t="s">
        <v>48</v>
      </c>
      <c r="N50" s="13" t="s">
        <v>49</v>
      </c>
      <c r="O50" s="26" t="s">
        <v>40</v>
      </c>
      <c r="P50" s="26">
        <v>3500</v>
      </c>
      <c r="Q50" s="26">
        <v>175</v>
      </c>
      <c r="R50" s="26">
        <v>0</v>
      </c>
      <c r="S50" s="26">
        <v>0</v>
      </c>
      <c r="T50" s="26">
        <v>0</v>
      </c>
      <c r="U50" s="26">
        <v>175</v>
      </c>
      <c r="V50" s="13" t="s">
        <v>49</v>
      </c>
      <c r="W50" s="13" t="s">
        <v>53</v>
      </c>
      <c r="X50" s="13" t="s">
        <v>54</v>
      </c>
      <c r="Y50" s="13" t="s">
        <v>191</v>
      </c>
      <c r="Z50" s="13" t="s">
        <v>56</v>
      </c>
      <c r="AA50" s="13" t="s">
        <v>40</v>
      </c>
      <c r="AB50" s="13" t="s">
        <v>57</v>
      </c>
      <c r="AC50" s="13" t="s">
        <v>40</v>
      </c>
      <c r="AD50" s="13" t="s">
        <v>40</v>
      </c>
      <c r="AE50" s="13" t="s">
        <v>40</v>
      </c>
    </row>
    <row r="51" spans="1:31" x14ac:dyDescent="0.25">
      <c r="A51" t="s">
        <v>87</v>
      </c>
      <c r="B51" t="s">
        <v>250</v>
      </c>
      <c r="C51" t="s">
        <v>40</v>
      </c>
      <c r="D51" s="1" t="s">
        <v>164</v>
      </c>
      <c r="E51" s="2">
        <v>18008</v>
      </c>
      <c r="F51" t="s">
        <v>40</v>
      </c>
      <c r="G51" s="1" t="s">
        <v>40</v>
      </c>
      <c r="H51" t="s">
        <v>43</v>
      </c>
      <c r="I51" t="s">
        <v>190</v>
      </c>
      <c r="J51" t="s">
        <v>76</v>
      </c>
      <c r="K51" t="s">
        <v>46</v>
      </c>
      <c r="L51" t="s">
        <v>77</v>
      </c>
      <c r="M51" t="s">
        <v>48</v>
      </c>
      <c r="N51" t="s">
        <v>49</v>
      </c>
      <c r="O51" s="2" t="s">
        <v>40</v>
      </c>
      <c r="P51" s="2">
        <v>17150</v>
      </c>
      <c r="Q51" s="2">
        <v>857.5</v>
      </c>
      <c r="R51" s="2">
        <v>0</v>
      </c>
      <c r="S51" s="2">
        <v>0</v>
      </c>
      <c r="T51" s="2">
        <v>0</v>
      </c>
      <c r="U51" s="2">
        <v>857.5</v>
      </c>
      <c r="V51" t="s">
        <v>49</v>
      </c>
      <c r="W51" t="s">
        <v>53</v>
      </c>
      <c r="X51" t="s">
        <v>54</v>
      </c>
      <c r="Y51" t="s">
        <v>191</v>
      </c>
      <c r="Z51" t="s">
        <v>56</v>
      </c>
      <c r="AA51" t="s">
        <v>40</v>
      </c>
      <c r="AB51" t="s">
        <v>57</v>
      </c>
      <c r="AC51" t="s">
        <v>40</v>
      </c>
      <c r="AD51" t="s">
        <v>40</v>
      </c>
      <c r="AE51" t="s">
        <v>40</v>
      </c>
    </row>
    <row r="52" spans="1:31" x14ac:dyDescent="0.25">
      <c r="A52" t="s">
        <v>140</v>
      </c>
      <c r="B52" t="s">
        <v>251</v>
      </c>
      <c r="C52" t="s">
        <v>40</v>
      </c>
      <c r="D52" s="1" t="s">
        <v>164</v>
      </c>
      <c r="E52" s="2">
        <v>1575</v>
      </c>
      <c r="F52" t="s">
        <v>40</v>
      </c>
      <c r="G52" s="1" t="s">
        <v>40</v>
      </c>
      <c r="H52" t="s">
        <v>43</v>
      </c>
      <c r="I52" t="s">
        <v>190</v>
      </c>
      <c r="J52" t="s">
        <v>76</v>
      </c>
      <c r="K52" t="s">
        <v>46</v>
      </c>
      <c r="L52" t="s">
        <v>77</v>
      </c>
      <c r="M52" t="s">
        <v>48</v>
      </c>
      <c r="N52" t="s">
        <v>49</v>
      </c>
      <c r="O52" s="2" t="s">
        <v>40</v>
      </c>
      <c r="P52" s="2">
        <v>1500</v>
      </c>
      <c r="Q52" s="2">
        <v>75</v>
      </c>
      <c r="R52" s="2">
        <v>0</v>
      </c>
      <c r="S52" s="2">
        <v>0</v>
      </c>
      <c r="T52" s="2">
        <v>0</v>
      </c>
      <c r="U52" s="2">
        <v>75</v>
      </c>
      <c r="V52" t="s">
        <v>49</v>
      </c>
      <c r="W52" t="s">
        <v>53</v>
      </c>
      <c r="X52" t="s">
        <v>54</v>
      </c>
      <c r="Y52" t="s">
        <v>191</v>
      </c>
      <c r="Z52" t="s">
        <v>56</v>
      </c>
      <c r="AA52" t="s">
        <v>40</v>
      </c>
      <c r="AB52" t="s">
        <v>57</v>
      </c>
      <c r="AC52" t="s">
        <v>40</v>
      </c>
      <c r="AD52" t="s">
        <v>40</v>
      </c>
      <c r="AE52" t="s">
        <v>40</v>
      </c>
    </row>
    <row r="53" spans="1:31" x14ac:dyDescent="0.25">
      <c r="A53" t="s">
        <v>266</v>
      </c>
      <c r="B53" t="s">
        <v>252</v>
      </c>
      <c r="C53" t="s">
        <v>40</v>
      </c>
      <c r="D53" s="1" t="s">
        <v>164</v>
      </c>
      <c r="E53" s="2">
        <v>2625</v>
      </c>
      <c r="F53" t="s">
        <v>40</v>
      </c>
      <c r="G53" s="1" t="s">
        <v>40</v>
      </c>
      <c r="H53" t="s">
        <v>43</v>
      </c>
      <c r="I53" t="s">
        <v>190</v>
      </c>
      <c r="J53" t="s">
        <v>76</v>
      </c>
      <c r="K53" t="s">
        <v>46</v>
      </c>
      <c r="L53" t="s">
        <v>77</v>
      </c>
      <c r="M53" t="s">
        <v>48</v>
      </c>
      <c r="N53" t="s">
        <v>49</v>
      </c>
      <c r="O53" s="2" t="s">
        <v>40</v>
      </c>
      <c r="P53" s="2">
        <v>2500</v>
      </c>
      <c r="Q53" s="2">
        <v>125</v>
      </c>
      <c r="R53" s="2">
        <v>0</v>
      </c>
      <c r="S53" s="2">
        <v>0</v>
      </c>
      <c r="T53" s="2">
        <v>0</v>
      </c>
      <c r="U53" s="2">
        <v>125</v>
      </c>
      <c r="V53" t="s">
        <v>49</v>
      </c>
      <c r="W53" t="s">
        <v>53</v>
      </c>
      <c r="X53" t="s">
        <v>54</v>
      </c>
      <c r="Y53" t="s">
        <v>191</v>
      </c>
      <c r="Z53" t="s">
        <v>56</v>
      </c>
      <c r="AA53" t="s">
        <v>40</v>
      </c>
      <c r="AB53" t="s">
        <v>57</v>
      </c>
      <c r="AC53" t="s">
        <v>40</v>
      </c>
      <c r="AD53" t="s">
        <v>40</v>
      </c>
      <c r="AE53" t="s">
        <v>40</v>
      </c>
    </row>
    <row r="54" spans="1:31" x14ac:dyDescent="0.25">
      <c r="A54" t="s">
        <v>267</v>
      </c>
      <c r="B54" t="s">
        <v>253</v>
      </c>
      <c r="C54" t="s">
        <v>40</v>
      </c>
      <c r="D54" s="1" t="s">
        <v>164</v>
      </c>
      <c r="E54" s="2">
        <v>1575</v>
      </c>
      <c r="F54" t="s">
        <v>40</v>
      </c>
      <c r="G54" s="1" t="s">
        <v>40</v>
      </c>
      <c r="H54" t="s">
        <v>43</v>
      </c>
      <c r="I54" t="s">
        <v>190</v>
      </c>
      <c r="J54" t="s">
        <v>76</v>
      </c>
      <c r="K54" t="s">
        <v>46</v>
      </c>
      <c r="L54" t="s">
        <v>77</v>
      </c>
      <c r="M54" t="s">
        <v>48</v>
      </c>
      <c r="N54" t="s">
        <v>49</v>
      </c>
      <c r="O54" s="2" t="s">
        <v>40</v>
      </c>
      <c r="P54" s="2">
        <v>1500</v>
      </c>
      <c r="Q54" s="2">
        <v>75</v>
      </c>
      <c r="R54" s="2">
        <v>0</v>
      </c>
      <c r="S54" s="2">
        <v>0</v>
      </c>
      <c r="T54" s="2">
        <v>0</v>
      </c>
      <c r="U54" s="2">
        <v>75</v>
      </c>
      <c r="V54" t="s">
        <v>49</v>
      </c>
      <c r="W54" t="s">
        <v>53</v>
      </c>
      <c r="X54" t="s">
        <v>54</v>
      </c>
      <c r="Y54" t="s">
        <v>191</v>
      </c>
      <c r="Z54" t="s">
        <v>56</v>
      </c>
      <c r="AA54" t="s">
        <v>40</v>
      </c>
      <c r="AB54" t="s">
        <v>57</v>
      </c>
      <c r="AC54" t="s">
        <v>40</v>
      </c>
      <c r="AD54" t="s">
        <v>40</v>
      </c>
      <c r="AE54" t="s">
        <v>40</v>
      </c>
    </row>
    <row r="55" spans="1:31" s="10" customFormat="1" x14ac:dyDescent="0.25">
      <c r="A55" s="10" t="s">
        <v>268</v>
      </c>
      <c r="B55" s="10" t="s">
        <v>254</v>
      </c>
      <c r="C55" s="10" t="s">
        <v>40</v>
      </c>
      <c r="D55" s="11" t="s">
        <v>171</v>
      </c>
      <c r="E55" s="12">
        <v>39000</v>
      </c>
      <c r="F55" s="10" t="s">
        <v>40</v>
      </c>
      <c r="G55" s="11" t="s">
        <v>40</v>
      </c>
      <c r="H55" s="10" t="s">
        <v>43</v>
      </c>
      <c r="I55" s="10" t="s">
        <v>185</v>
      </c>
      <c r="J55" s="10" t="s">
        <v>186</v>
      </c>
      <c r="K55" s="10" t="s">
        <v>46</v>
      </c>
      <c r="L55" s="10" t="s">
        <v>47</v>
      </c>
      <c r="M55" s="10" t="s">
        <v>48</v>
      </c>
      <c r="N55" s="10" t="s">
        <v>49</v>
      </c>
      <c r="O55" s="12" t="s">
        <v>40</v>
      </c>
      <c r="P55" s="12">
        <v>37142.9</v>
      </c>
      <c r="Q55" s="12">
        <v>0</v>
      </c>
      <c r="R55" s="12">
        <v>928.57</v>
      </c>
      <c r="S55" s="12">
        <v>928.57</v>
      </c>
      <c r="T55" s="12">
        <v>0</v>
      </c>
      <c r="U55" s="12">
        <v>1857.14</v>
      </c>
      <c r="V55" s="10" t="s">
        <v>49</v>
      </c>
      <c r="W55" s="10" t="s">
        <v>53</v>
      </c>
      <c r="X55" s="10" t="s">
        <v>54</v>
      </c>
      <c r="Y55" s="10" t="s">
        <v>202</v>
      </c>
      <c r="Z55" s="10" t="s">
        <v>56</v>
      </c>
      <c r="AA55" s="10" t="s">
        <v>40</v>
      </c>
      <c r="AB55" s="10" t="s">
        <v>57</v>
      </c>
      <c r="AC55" s="10" t="s">
        <v>40</v>
      </c>
      <c r="AD55" s="10" t="s">
        <v>40</v>
      </c>
      <c r="AE55" s="10" t="s">
        <v>40</v>
      </c>
    </row>
    <row r="56" spans="1:31" x14ac:dyDescent="0.25">
      <c r="A56" t="s">
        <v>269</v>
      </c>
      <c r="B56" t="s">
        <v>255</v>
      </c>
      <c r="C56" t="s">
        <v>40</v>
      </c>
      <c r="D56" s="1" t="s">
        <v>171</v>
      </c>
      <c r="E56" s="2">
        <v>2625</v>
      </c>
      <c r="F56" t="s">
        <v>40</v>
      </c>
      <c r="G56" s="1" t="s">
        <v>40</v>
      </c>
      <c r="H56" t="s">
        <v>43</v>
      </c>
      <c r="I56" t="s">
        <v>190</v>
      </c>
      <c r="J56" t="s">
        <v>76</v>
      </c>
      <c r="K56" t="s">
        <v>46</v>
      </c>
      <c r="L56" t="s">
        <v>77</v>
      </c>
      <c r="M56" t="s">
        <v>48</v>
      </c>
      <c r="N56" t="s">
        <v>49</v>
      </c>
      <c r="O56" s="2" t="s">
        <v>40</v>
      </c>
      <c r="P56" s="2">
        <v>2500</v>
      </c>
      <c r="Q56" s="2">
        <v>125</v>
      </c>
      <c r="R56" s="2">
        <v>0</v>
      </c>
      <c r="S56" s="2">
        <v>0</v>
      </c>
      <c r="T56" s="2">
        <v>0</v>
      </c>
      <c r="U56" s="2">
        <v>125</v>
      </c>
      <c r="V56" t="s">
        <v>49</v>
      </c>
      <c r="W56" t="s">
        <v>53</v>
      </c>
      <c r="X56" t="s">
        <v>54</v>
      </c>
      <c r="Y56" t="s">
        <v>191</v>
      </c>
      <c r="Z56" t="s">
        <v>56</v>
      </c>
      <c r="AA56" t="s">
        <v>40</v>
      </c>
      <c r="AB56" t="s">
        <v>57</v>
      </c>
      <c r="AC56" t="s">
        <v>40</v>
      </c>
      <c r="AD56" t="s">
        <v>40</v>
      </c>
      <c r="AE56" t="s">
        <v>40</v>
      </c>
    </row>
    <row r="57" spans="1:31" x14ac:dyDescent="0.25">
      <c r="A57" t="s">
        <v>270</v>
      </c>
      <c r="B57" t="s">
        <v>256</v>
      </c>
      <c r="C57" t="s">
        <v>40</v>
      </c>
      <c r="D57" s="1" t="s">
        <v>171</v>
      </c>
      <c r="E57" s="2">
        <v>2625</v>
      </c>
      <c r="F57" t="s">
        <v>40</v>
      </c>
      <c r="G57" s="1" t="s">
        <v>40</v>
      </c>
      <c r="H57" t="s">
        <v>43</v>
      </c>
      <c r="I57" t="s">
        <v>190</v>
      </c>
      <c r="J57" t="s">
        <v>76</v>
      </c>
      <c r="K57" t="s">
        <v>46</v>
      </c>
      <c r="L57" t="s">
        <v>77</v>
      </c>
      <c r="M57" t="s">
        <v>48</v>
      </c>
      <c r="N57" t="s">
        <v>49</v>
      </c>
      <c r="O57" s="2" t="s">
        <v>40</v>
      </c>
      <c r="P57" s="2">
        <v>2500</v>
      </c>
      <c r="Q57" s="2">
        <v>125</v>
      </c>
      <c r="R57" s="2">
        <v>0</v>
      </c>
      <c r="S57" s="2">
        <v>0</v>
      </c>
      <c r="T57" s="2">
        <v>0</v>
      </c>
      <c r="U57" s="2">
        <v>125</v>
      </c>
      <c r="V57" t="s">
        <v>49</v>
      </c>
      <c r="W57" t="s">
        <v>53</v>
      </c>
      <c r="X57" t="s">
        <v>54</v>
      </c>
      <c r="Y57" t="s">
        <v>191</v>
      </c>
      <c r="Z57" t="s">
        <v>56</v>
      </c>
      <c r="AA57" t="s">
        <v>40</v>
      </c>
      <c r="AB57" t="s">
        <v>57</v>
      </c>
      <c r="AC57" t="s">
        <v>40</v>
      </c>
      <c r="AD57" t="s">
        <v>40</v>
      </c>
      <c r="AE57" t="s">
        <v>40</v>
      </c>
    </row>
    <row r="58" spans="1:31" x14ac:dyDescent="0.25">
      <c r="A58" t="s">
        <v>271</v>
      </c>
      <c r="B58" t="s">
        <v>257</v>
      </c>
      <c r="C58" t="s">
        <v>40</v>
      </c>
      <c r="D58" s="1" t="s">
        <v>178</v>
      </c>
      <c r="E58" s="2">
        <v>3990</v>
      </c>
      <c r="F58" t="s">
        <v>40</v>
      </c>
      <c r="G58" s="1" t="s">
        <v>40</v>
      </c>
      <c r="H58" t="s">
        <v>43</v>
      </c>
      <c r="I58" t="s">
        <v>190</v>
      </c>
      <c r="J58" t="s">
        <v>76</v>
      </c>
      <c r="K58" t="s">
        <v>46</v>
      </c>
      <c r="L58" t="s">
        <v>77</v>
      </c>
      <c r="M58" t="s">
        <v>48</v>
      </c>
      <c r="N58" t="s">
        <v>49</v>
      </c>
      <c r="O58" s="2" t="s">
        <v>40</v>
      </c>
      <c r="P58" s="2">
        <v>3800</v>
      </c>
      <c r="Q58" s="2">
        <v>190</v>
      </c>
      <c r="R58" s="2">
        <v>0</v>
      </c>
      <c r="S58" s="2">
        <v>0</v>
      </c>
      <c r="T58" s="2">
        <v>0</v>
      </c>
      <c r="U58" s="2">
        <v>190</v>
      </c>
      <c r="V58" t="s">
        <v>49</v>
      </c>
      <c r="W58" t="s">
        <v>53</v>
      </c>
      <c r="X58" t="s">
        <v>54</v>
      </c>
      <c r="Y58" t="s">
        <v>191</v>
      </c>
      <c r="Z58" t="s">
        <v>56</v>
      </c>
      <c r="AA58" t="s">
        <v>40</v>
      </c>
      <c r="AB58" t="s">
        <v>57</v>
      </c>
      <c r="AC58" t="s">
        <v>40</v>
      </c>
      <c r="AD58" t="s">
        <v>40</v>
      </c>
      <c r="AE58" t="s">
        <v>40</v>
      </c>
    </row>
    <row r="59" spans="1:31" x14ac:dyDescent="0.25">
      <c r="A59" t="s">
        <v>272</v>
      </c>
      <c r="B59" t="s">
        <v>258</v>
      </c>
      <c r="C59" t="s">
        <v>40</v>
      </c>
      <c r="D59" s="1" t="s">
        <v>178</v>
      </c>
      <c r="E59" s="2">
        <v>2625</v>
      </c>
      <c r="F59" t="s">
        <v>40</v>
      </c>
      <c r="G59" s="1" t="s">
        <v>40</v>
      </c>
      <c r="H59" t="s">
        <v>43</v>
      </c>
      <c r="I59" t="s">
        <v>190</v>
      </c>
      <c r="J59" t="s">
        <v>76</v>
      </c>
      <c r="K59" t="s">
        <v>46</v>
      </c>
      <c r="L59" t="s">
        <v>77</v>
      </c>
      <c r="M59" t="s">
        <v>48</v>
      </c>
      <c r="N59" t="s">
        <v>49</v>
      </c>
      <c r="O59" s="2" t="s">
        <v>40</v>
      </c>
      <c r="P59" s="2">
        <v>2500</v>
      </c>
      <c r="Q59" s="2">
        <v>125</v>
      </c>
      <c r="R59" s="2">
        <v>0</v>
      </c>
      <c r="S59" s="2">
        <v>0</v>
      </c>
      <c r="T59" s="2">
        <v>0</v>
      </c>
      <c r="U59" s="2">
        <v>125</v>
      </c>
      <c r="V59" t="s">
        <v>49</v>
      </c>
      <c r="W59" t="s">
        <v>53</v>
      </c>
      <c r="X59" t="s">
        <v>54</v>
      </c>
      <c r="Y59" t="s">
        <v>191</v>
      </c>
      <c r="Z59" t="s">
        <v>56</v>
      </c>
      <c r="AA59" t="s">
        <v>40</v>
      </c>
      <c r="AB59" t="s">
        <v>57</v>
      </c>
      <c r="AC59" t="s">
        <v>40</v>
      </c>
      <c r="AD59" t="s">
        <v>40</v>
      </c>
      <c r="AE59" t="s">
        <v>40</v>
      </c>
    </row>
    <row r="60" spans="1:31" s="10" customFormat="1" x14ac:dyDescent="0.25">
      <c r="A60" s="10" t="s">
        <v>90</v>
      </c>
      <c r="B60" s="10" t="s">
        <v>259</v>
      </c>
      <c r="C60" s="10" t="s">
        <v>40</v>
      </c>
      <c r="D60" s="11" t="s">
        <v>181</v>
      </c>
      <c r="E60" s="12">
        <v>116.82</v>
      </c>
      <c r="F60" s="10" t="s">
        <v>40</v>
      </c>
      <c r="G60" s="11" t="s">
        <v>40</v>
      </c>
      <c r="H60" s="10" t="s">
        <v>43</v>
      </c>
      <c r="I60" s="10" t="s">
        <v>239</v>
      </c>
      <c r="J60" s="10" t="s">
        <v>260</v>
      </c>
      <c r="K60" s="10" t="s">
        <v>46</v>
      </c>
      <c r="L60" s="10" t="s">
        <v>47</v>
      </c>
      <c r="M60" s="10" t="s">
        <v>48</v>
      </c>
      <c r="N60" s="10" t="s">
        <v>49</v>
      </c>
      <c r="O60" s="12" t="s">
        <v>40</v>
      </c>
      <c r="P60" s="12">
        <v>99</v>
      </c>
      <c r="Q60" s="12">
        <v>0</v>
      </c>
      <c r="R60" s="12">
        <v>8.91</v>
      </c>
      <c r="S60" s="12">
        <v>8.91</v>
      </c>
      <c r="T60" s="12">
        <v>0</v>
      </c>
      <c r="U60" s="12">
        <v>17.82</v>
      </c>
      <c r="V60" s="10" t="s">
        <v>49</v>
      </c>
      <c r="W60" s="10" t="s">
        <v>53</v>
      </c>
      <c r="X60" s="10" t="s">
        <v>54</v>
      </c>
      <c r="Y60" s="10" t="s">
        <v>55</v>
      </c>
      <c r="Z60" s="10" t="s">
        <v>56</v>
      </c>
      <c r="AA60" s="10" t="s">
        <v>40</v>
      </c>
      <c r="AB60" s="10" t="s">
        <v>57</v>
      </c>
      <c r="AC60" s="10" t="s">
        <v>40</v>
      </c>
      <c r="AD60" s="10" t="s">
        <v>40</v>
      </c>
      <c r="AE60" s="10" t="s">
        <v>40</v>
      </c>
    </row>
    <row r="61" spans="1:31" x14ac:dyDescent="0.25">
      <c r="A61" t="s">
        <v>97</v>
      </c>
      <c r="B61" t="s">
        <v>261</v>
      </c>
      <c r="C61" t="s">
        <v>40</v>
      </c>
      <c r="D61" s="1" t="s">
        <v>181</v>
      </c>
      <c r="E61" s="2">
        <v>2940</v>
      </c>
      <c r="F61" t="s">
        <v>40</v>
      </c>
      <c r="G61" s="1" t="s">
        <v>40</v>
      </c>
      <c r="H61" t="s">
        <v>43</v>
      </c>
      <c r="I61" t="s">
        <v>190</v>
      </c>
      <c r="J61" t="s">
        <v>76</v>
      </c>
      <c r="K61" t="s">
        <v>46</v>
      </c>
      <c r="L61" t="s">
        <v>77</v>
      </c>
      <c r="M61" t="s">
        <v>48</v>
      </c>
      <c r="N61" t="s">
        <v>49</v>
      </c>
      <c r="O61" s="2" t="s">
        <v>40</v>
      </c>
      <c r="P61" s="2">
        <v>2800</v>
      </c>
      <c r="Q61" s="2">
        <v>140</v>
      </c>
      <c r="R61" s="2">
        <v>0</v>
      </c>
      <c r="S61" s="2">
        <v>0</v>
      </c>
      <c r="T61" s="2">
        <v>0</v>
      </c>
      <c r="U61" s="2">
        <v>140</v>
      </c>
      <c r="V61" t="s">
        <v>49</v>
      </c>
      <c r="W61" t="s">
        <v>53</v>
      </c>
      <c r="X61" t="s">
        <v>54</v>
      </c>
      <c r="Y61" t="s">
        <v>191</v>
      </c>
      <c r="Z61" t="s">
        <v>56</v>
      </c>
      <c r="AA61" t="s">
        <v>40</v>
      </c>
      <c r="AB61" t="s">
        <v>57</v>
      </c>
      <c r="AC61" t="s">
        <v>40</v>
      </c>
      <c r="AD61" t="s">
        <v>40</v>
      </c>
      <c r="AE61" t="s">
        <v>40</v>
      </c>
    </row>
    <row r="62" spans="1:31" s="10" customFormat="1" x14ac:dyDescent="0.25">
      <c r="A62" s="10" t="s">
        <v>273</v>
      </c>
      <c r="B62" s="10" t="s">
        <v>262</v>
      </c>
      <c r="C62" s="10" t="s">
        <v>40</v>
      </c>
      <c r="D62" s="11" t="s">
        <v>181</v>
      </c>
      <c r="E62" s="12">
        <v>419.69</v>
      </c>
      <c r="F62" s="10" t="s">
        <v>40</v>
      </c>
      <c r="G62" s="11" t="s">
        <v>40</v>
      </c>
      <c r="H62" s="10" t="s">
        <v>43</v>
      </c>
      <c r="I62" s="10" t="s">
        <v>239</v>
      </c>
      <c r="J62" s="10" t="s">
        <v>260</v>
      </c>
      <c r="K62" s="10" t="s">
        <v>46</v>
      </c>
      <c r="L62" s="10" t="s">
        <v>47</v>
      </c>
      <c r="M62" s="10" t="s">
        <v>48</v>
      </c>
      <c r="N62" s="10" t="s">
        <v>49</v>
      </c>
      <c r="O62" s="12" t="s">
        <v>40</v>
      </c>
      <c r="P62" s="12">
        <v>355.67</v>
      </c>
      <c r="Q62" s="12">
        <v>0</v>
      </c>
      <c r="R62" s="12">
        <v>32.01</v>
      </c>
      <c r="S62" s="12">
        <v>32.01</v>
      </c>
      <c r="T62" s="12">
        <v>0</v>
      </c>
      <c r="U62" s="12">
        <v>64.02</v>
      </c>
      <c r="V62" s="10" t="s">
        <v>49</v>
      </c>
      <c r="W62" s="10" t="s">
        <v>53</v>
      </c>
      <c r="X62" s="10" t="s">
        <v>54</v>
      </c>
      <c r="Y62" s="10" t="s">
        <v>55</v>
      </c>
      <c r="Z62" s="10" t="s">
        <v>56</v>
      </c>
      <c r="AA62" s="10" t="s">
        <v>40</v>
      </c>
      <c r="AB62" s="10" t="s">
        <v>57</v>
      </c>
      <c r="AC62" s="10" t="s">
        <v>40</v>
      </c>
      <c r="AD62" s="10" t="s">
        <v>40</v>
      </c>
      <c r="AE62" s="10" t="s">
        <v>40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118"/>
  <sheetViews>
    <sheetView workbookViewId="0">
      <pane ySplit="2" topLeftCell="A71" activePane="bottomLeft" state="frozen"/>
      <selection pane="bottomLeft" sqref="A1:C1"/>
    </sheetView>
  </sheetViews>
  <sheetFormatPr defaultRowHeight="15" x14ac:dyDescent="0.25"/>
  <cols>
    <col min="1" max="1" width="9.140625" customWidth="1"/>
    <col min="2" max="2" width="10.28515625" customWidth="1"/>
    <col min="3" max="3" width="14.7109375" style="1" customWidth="1"/>
    <col min="4" max="4" width="20.28515625" customWidth="1"/>
    <col min="5" max="5" width="9.28515625" customWidth="1"/>
    <col min="6" max="6" width="12.5703125" style="1" customWidth="1"/>
    <col min="7" max="7" width="9.140625" customWidth="1"/>
    <col min="8" max="8" width="30" customWidth="1"/>
    <col min="9" max="9" width="19.140625" customWidth="1"/>
    <col min="10" max="10" width="9.140625" customWidth="1"/>
    <col min="11" max="11" width="9.140625" style="2" customWidth="1"/>
    <col min="12" max="12" width="18.85546875" style="2" customWidth="1"/>
    <col min="13" max="13" width="14.42578125" style="2" customWidth="1"/>
    <col min="14" max="14" width="11.5703125" style="2" customWidth="1"/>
    <col min="15" max="15" width="13.140625" style="2" customWidth="1"/>
    <col min="16" max="16" width="9.140625" style="2" customWidth="1"/>
    <col min="17" max="17" width="13.42578125" style="2" customWidth="1"/>
    <col min="18" max="18" width="13.85546875" customWidth="1"/>
    <col min="19" max="19" width="19.85546875" customWidth="1"/>
    <col min="20" max="20" width="14.7109375" customWidth="1"/>
  </cols>
  <sheetData>
    <row r="1" spans="1:20" x14ac:dyDescent="0.25">
      <c r="A1" s="17" t="s">
        <v>274</v>
      </c>
      <c r="B1" s="18"/>
      <c r="C1" s="19"/>
    </row>
    <row r="2" spans="1:20" x14ac:dyDescent="0.25">
      <c r="A2" s="3" t="s">
        <v>1</v>
      </c>
      <c r="B2" s="3" t="s">
        <v>2</v>
      </c>
      <c r="C2" s="4" t="s">
        <v>3</v>
      </c>
      <c r="D2" s="3" t="s">
        <v>4</v>
      </c>
      <c r="E2" s="3" t="s">
        <v>6</v>
      </c>
      <c r="F2" s="4" t="s">
        <v>7</v>
      </c>
      <c r="G2" s="3" t="s">
        <v>10</v>
      </c>
      <c r="H2" s="3" t="s">
        <v>11</v>
      </c>
      <c r="I2" s="3" t="s">
        <v>12</v>
      </c>
      <c r="J2" s="3" t="s">
        <v>275</v>
      </c>
      <c r="K2" s="5" t="s">
        <v>276</v>
      </c>
      <c r="L2" s="5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24</v>
      </c>
      <c r="R2" s="3" t="s">
        <v>27</v>
      </c>
      <c r="S2" s="3" t="s">
        <v>29</v>
      </c>
      <c r="T2" s="3" t="s">
        <v>30</v>
      </c>
    </row>
    <row r="3" spans="1:20" x14ac:dyDescent="0.25">
      <c r="A3" s="22" t="s">
        <v>65</v>
      </c>
      <c r="B3" s="22" t="s">
        <v>65</v>
      </c>
      <c r="C3" s="23" t="s">
        <v>65</v>
      </c>
      <c r="D3" s="22" t="s">
        <v>65</v>
      </c>
      <c r="E3" s="22" t="s">
        <v>65</v>
      </c>
      <c r="F3" s="23" t="s">
        <v>65</v>
      </c>
      <c r="G3" s="22" t="s">
        <v>65</v>
      </c>
      <c r="H3" s="22" t="s">
        <v>65</v>
      </c>
      <c r="I3" s="22" t="s">
        <v>65</v>
      </c>
      <c r="J3" s="22" t="s">
        <v>65</v>
      </c>
      <c r="K3" s="24" t="s">
        <v>65</v>
      </c>
      <c r="L3" s="24" t="s">
        <v>65</v>
      </c>
      <c r="M3" s="24" t="s">
        <v>65</v>
      </c>
      <c r="N3" s="24" t="s">
        <v>65</v>
      </c>
      <c r="O3" s="24" t="s">
        <v>65</v>
      </c>
      <c r="P3" s="24" t="s">
        <v>65</v>
      </c>
      <c r="Q3" s="24" t="s">
        <v>65</v>
      </c>
      <c r="R3" s="22" t="s">
        <v>65</v>
      </c>
    </row>
    <row r="4" spans="1:20" x14ac:dyDescent="0.25">
      <c r="A4" t="s">
        <v>38</v>
      </c>
      <c r="B4" t="s">
        <v>40</v>
      </c>
      <c r="C4" s="1" t="s">
        <v>40</v>
      </c>
      <c r="D4" t="s">
        <v>39</v>
      </c>
      <c r="E4" t="s">
        <v>41</v>
      </c>
      <c r="F4" s="1" t="s">
        <v>42</v>
      </c>
      <c r="G4" t="s">
        <v>43</v>
      </c>
      <c r="H4" t="s">
        <v>44</v>
      </c>
      <c r="I4" t="s">
        <v>45</v>
      </c>
      <c r="J4" t="s">
        <v>49</v>
      </c>
      <c r="K4" s="2" t="s">
        <v>40</v>
      </c>
      <c r="L4" s="2">
        <v>3390</v>
      </c>
      <c r="M4" s="2">
        <v>0</v>
      </c>
      <c r="N4" s="2">
        <v>305.10000000000002</v>
      </c>
      <c r="O4" s="2">
        <v>305.10000000000002</v>
      </c>
      <c r="P4" s="2">
        <v>0</v>
      </c>
      <c r="Q4" s="2">
        <v>4000</v>
      </c>
      <c r="R4" t="s">
        <v>40</v>
      </c>
      <c r="S4" t="s">
        <v>40</v>
      </c>
      <c r="T4" t="s">
        <v>40</v>
      </c>
    </row>
    <row r="5" spans="1:20" s="6" customFormat="1" x14ac:dyDescent="0.25">
      <c r="A5" s="6" t="s">
        <v>40</v>
      </c>
      <c r="B5" s="6" t="s">
        <v>40</v>
      </c>
      <c r="C5" s="7" t="s">
        <v>40</v>
      </c>
      <c r="D5" s="6" t="s">
        <v>50</v>
      </c>
      <c r="E5" s="6" t="s">
        <v>51</v>
      </c>
      <c r="F5" s="7" t="s">
        <v>42</v>
      </c>
      <c r="G5" s="6" t="s">
        <v>43</v>
      </c>
      <c r="H5" s="6" t="s">
        <v>52</v>
      </c>
      <c r="I5" s="6" t="s">
        <v>45</v>
      </c>
      <c r="J5" s="6" t="s">
        <v>49</v>
      </c>
      <c r="K5" s="8" t="s">
        <v>40</v>
      </c>
      <c r="L5" s="8">
        <v>3390</v>
      </c>
      <c r="M5" s="8">
        <v>0</v>
      </c>
      <c r="N5" s="8">
        <v>305.10000000000002</v>
      </c>
      <c r="O5" s="8">
        <v>305.10000000000002</v>
      </c>
      <c r="P5" s="8">
        <v>0</v>
      </c>
      <c r="Q5" s="8">
        <v>4000</v>
      </c>
      <c r="R5" s="6" t="s">
        <v>53</v>
      </c>
      <c r="S5" s="6" t="s">
        <v>55</v>
      </c>
      <c r="T5" s="6" t="s">
        <v>56</v>
      </c>
    </row>
    <row r="6" spans="1:20" x14ac:dyDescent="0.25">
      <c r="I6" s="20" t="s">
        <v>58</v>
      </c>
      <c r="J6" s="20" t="s">
        <v>58</v>
      </c>
      <c r="K6" s="21" t="s">
        <v>58</v>
      </c>
      <c r="L6" s="9">
        <v>3390</v>
      </c>
      <c r="M6" s="9">
        <v>0</v>
      </c>
      <c r="N6" s="9">
        <v>305.10000000000002</v>
      </c>
      <c r="O6" s="9">
        <v>305.10000000000002</v>
      </c>
      <c r="P6" s="9">
        <v>0</v>
      </c>
      <c r="Q6" s="9">
        <v>4000</v>
      </c>
    </row>
    <row r="7" spans="1:20" x14ac:dyDescent="0.25">
      <c r="I7" s="20" t="s">
        <v>59</v>
      </c>
      <c r="J7" s="20" t="s">
        <v>59</v>
      </c>
      <c r="K7" s="21" t="s">
        <v>59</v>
      </c>
      <c r="L7" s="9">
        <v>3390</v>
      </c>
      <c r="M7" s="9">
        <v>0</v>
      </c>
      <c r="N7" s="9">
        <v>305.10000000000002</v>
      </c>
      <c r="O7" s="9">
        <v>305.10000000000002</v>
      </c>
      <c r="P7" s="9">
        <v>0</v>
      </c>
      <c r="Q7" s="9">
        <v>4000</v>
      </c>
    </row>
    <row r="8" spans="1:20" x14ac:dyDescent="0.25">
      <c r="I8" s="20" t="s">
        <v>60</v>
      </c>
      <c r="J8" s="20" t="s">
        <v>60</v>
      </c>
      <c r="K8" s="21" t="s">
        <v>60</v>
      </c>
      <c r="L8" s="9">
        <f t="shared" ref="L8:Q8" si="0">L6-L7</f>
        <v>0</v>
      </c>
      <c r="M8" s="9">
        <f t="shared" si="0"/>
        <v>0</v>
      </c>
      <c r="N8" s="9">
        <f t="shared" si="0"/>
        <v>0</v>
      </c>
      <c r="O8" s="9">
        <f t="shared" si="0"/>
        <v>0</v>
      </c>
      <c r="P8" s="9">
        <f t="shared" si="0"/>
        <v>0</v>
      </c>
      <c r="Q8" s="9">
        <f t="shared" si="0"/>
        <v>0</v>
      </c>
    </row>
    <row r="9" spans="1:20" x14ac:dyDescent="0.25">
      <c r="A9" s="22" t="s">
        <v>277</v>
      </c>
      <c r="B9" s="22" t="s">
        <v>277</v>
      </c>
      <c r="C9" s="23" t="s">
        <v>277</v>
      </c>
      <c r="D9" s="22" t="s">
        <v>277</v>
      </c>
      <c r="E9" s="22" t="s">
        <v>277</v>
      </c>
      <c r="F9" s="23" t="s">
        <v>277</v>
      </c>
      <c r="G9" s="22" t="s">
        <v>277</v>
      </c>
      <c r="H9" s="22" t="s">
        <v>277</v>
      </c>
      <c r="I9" s="22" t="s">
        <v>277</v>
      </c>
      <c r="J9" s="22" t="s">
        <v>277</v>
      </c>
      <c r="K9" s="24" t="s">
        <v>277</v>
      </c>
      <c r="L9" s="24" t="s">
        <v>277</v>
      </c>
      <c r="M9" s="24" t="s">
        <v>277</v>
      </c>
      <c r="N9" s="24" t="s">
        <v>277</v>
      </c>
      <c r="O9" s="24" t="s">
        <v>277</v>
      </c>
      <c r="P9" s="24" t="s">
        <v>277</v>
      </c>
      <c r="Q9" s="24" t="s">
        <v>277</v>
      </c>
      <c r="R9" s="22" t="s">
        <v>277</v>
      </c>
    </row>
    <row r="10" spans="1:20" x14ac:dyDescent="0.25">
      <c r="A10" t="s">
        <v>66</v>
      </c>
      <c r="B10" t="s">
        <v>40</v>
      </c>
      <c r="C10" s="1" t="s">
        <v>40</v>
      </c>
      <c r="D10" t="s">
        <v>67</v>
      </c>
      <c r="E10" t="s">
        <v>41</v>
      </c>
      <c r="F10" s="1" t="s">
        <v>68</v>
      </c>
      <c r="G10" t="s">
        <v>43</v>
      </c>
      <c r="H10" t="s">
        <v>69</v>
      </c>
      <c r="I10" t="s">
        <v>70</v>
      </c>
      <c r="J10" t="s">
        <v>49</v>
      </c>
      <c r="K10" s="2" t="s">
        <v>40</v>
      </c>
      <c r="L10" s="2">
        <v>16381.65</v>
      </c>
      <c r="M10" s="2">
        <v>0</v>
      </c>
      <c r="N10" s="2">
        <v>409.54</v>
      </c>
      <c r="O10" s="2">
        <v>409.54</v>
      </c>
      <c r="P10" s="2">
        <v>0</v>
      </c>
      <c r="Q10" s="2">
        <v>17201</v>
      </c>
      <c r="R10" t="s">
        <v>40</v>
      </c>
      <c r="S10" t="s">
        <v>40</v>
      </c>
      <c r="T10" t="s">
        <v>40</v>
      </c>
    </row>
    <row r="11" spans="1:20" x14ac:dyDescent="0.25">
      <c r="A11" t="s">
        <v>72</v>
      </c>
      <c r="B11" t="s">
        <v>40</v>
      </c>
      <c r="C11" s="1" t="s">
        <v>40</v>
      </c>
      <c r="D11" t="s">
        <v>73</v>
      </c>
      <c r="E11" t="s">
        <v>41</v>
      </c>
      <c r="F11" s="1" t="s">
        <v>74</v>
      </c>
      <c r="G11" t="s">
        <v>43</v>
      </c>
      <c r="H11" t="s">
        <v>75</v>
      </c>
      <c r="I11" t="s">
        <v>76</v>
      </c>
      <c r="J11" t="s">
        <v>49</v>
      </c>
      <c r="K11" s="2" t="s">
        <v>40</v>
      </c>
      <c r="L11" s="2">
        <v>1800</v>
      </c>
      <c r="M11" s="2">
        <v>90</v>
      </c>
      <c r="N11" s="2">
        <v>0</v>
      </c>
      <c r="O11" s="2">
        <v>0</v>
      </c>
      <c r="P11" s="2">
        <v>0</v>
      </c>
      <c r="Q11" s="2">
        <v>1890</v>
      </c>
      <c r="R11" t="s">
        <v>40</v>
      </c>
      <c r="S11" t="s">
        <v>40</v>
      </c>
      <c r="T11" t="s">
        <v>40</v>
      </c>
    </row>
    <row r="12" spans="1:20" x14ac:dyDescent="0.25">
      <c r="A12" t="s">
        <v>78</v>
      </c>
      <c r="B12" t="s">
        <v>40</v>
      </c>
      <c r="C12" s="1" t="s">
        <v>40</v>
      </c>
      <c r="D12" t="s">
        <v>79</v>
      </c>
      <c r="E12" t="s">
        <v>41</v>
      </c>
      <c r="F12" s="1" t="s">
        <v>74</v>
      </c>
      <c r="G12" t="s">
        <v>43</v>
      </c>
      <c r="H12" t="s">
        <v>75</v>
      </c>
      <c r="I12" t="s">
        <v>76</v>
      </c>
      <c r="J12" t="s">
        <v>49</v>
      </c>
      <c r="K12" s="2" t="s">
        <v>40</v>
      </c>
      <c r="L12" s="2">
        <v>3500</v>
      </c>
      <c r="M12" s="2">
        <v>175</v>
      </c>
      <c r="N12" s="2">
        <v>0</v>
      </c>
      <c r="O12" s="2">
        <v>0</v>
      </c>
      <c r="P12" s="2">
        <v>0</v>
      </c>
      <c r="Q12" s="2">
        <v>3675</v>
      </c>
      <c r="R12" t="s">
        <v>40</v>
      </c>
      <c r="S12" t="s">
        <v>40</v>
      </c>
      <c r="T12" t="s">
        <v>40</v>
      </c>
    </row>
    <row r="13" spans="1:20" x14ac:dyDescent="0.25">
      <c r="A13" t="s">
        <v>80</v>
      </c>
      <c r="B13" t="s">
        <v>40</v>
      </c>
      <c r="C13" s="1" t="s">
        <v>40</v>
      </c>
      <c r="D13" t="s">
        <v>81</v>
      </c>
      <c r="E13" t="s">
        <v>41</v>
      </c>
      <c r="F13" s="1" t="s">
        <v>74</v>
      </c>
      <c r="G13" t="s">
        <v>43</v>
      </c>
      <c r="H13" t="s">
        <v>75</v>
      </c>
      <c r="I13" t="s">
        <v>76</v>
      </c>
      <c r="J13" t="s">
        <v>49</v>
      </c>
      <c r="K13" s="2" t="s">
        <v>40</v>
      </c>
      <c r="L13" s="2">
        <v>2800</v>
      </c>
      <c r="M13" s="2">
        <v>140</v>
      </c>
      <c r="N13" s="2">
        <v>0</v>
      </c>
      <c r="O13" s="2">
        <v>0</v>
      </c>
      <c r="P13" s="2">
        <v>0</v>
      </c>
      <c r="Q13" s="2">
        <v>2940</v>
      </c>
      <c r="R13" t="s">
        <v>40</v>
      </c>
      <c r="S13" t="s">
        <v>40</v>
      </c>
      <c r="T13" t="s">
        <v>40</v>
      </c>
    </row>
    <row r="14" spans="1:20" x14ac:dyDescent="0.25">
      <c r="A14" t="s">
        <v>82</v>
      </c>
      <c r="B14" t="s">
        <v>40</v>
      </c>
      <c r="C14" s="1" t="s">
        <v>40</v>
      </c>
      <c r="D14" t="s">
        <v>83</v>
      </c>
      <c r="E14" t="s">
        <v>41</v>
      </c>
      <c r="F14" s="1" t="s">
        <v>74</v>
      </c>
      <c r="G14" t="s">
        <v>43</v>
      </c>
      <c r="H14" t="s">
        <v>75</v>
      </c>
      <c r="I14" t="s">
        <v>76</v>
      </c>
      <c r="J14" t="s">
        <v>49</v>
      </c>
      <c r="K14" s="2" t="s">
        <v>40</v>
      </c>
      <c r="L14" s="2">
        <v>2500</v>
      </c>
      <c r="M14" s="2">
        <v>125</v>
      </c>
      <c r="N14" s="2">
        <v>0</v>
      </c>
      <c r="O14" s="2">
        <v>0</v>
      </c>
      <c r="P14" s="2">
        <v>0</v>
      </c>
      <c r="Q14" s="2">
        <v>2625</v>
      </c>
      <c r="R14" t="s">
        <v>40</v>
      </c>
      <c r="S14" t="s">
        <v>40</v>
      </c>
      <c r="T14" t="s">
        <v>40</v>
      </c>
    </row>
    <row r="15" spans="1:20" x14ac:dyDescent="0.25">
      <c r="A15" t="s">
        <v>84</v>
      </c>
      <c r="B15" t="s">
        <v>40</v>
      </c>
      <c r="C15" s="1" t="s">
        <v>40</v>
      </c>
      <c r="D15" t="s">
        <v>85</v>
      </c>
      <c r="E15" t="s">
        <v>41</v>
      </c>
      <c r="F15" s="1" t="s">
        <v>74</v>
      </c>
      <c r="G15" t="s">
        <v>43</v>
      </c>
      <c r="H15" t="s">
        <v>75</v>
      </c>
      <c r="I15" t="s">
        <v>76</v>
      </c>
      <c r="J15" t="s">
        <v>49</v>
      </c>
      <c r="K15" s="2" t="s">
        <v>40</v>
      </c>
      <c r="L15" s="2">
        <v>2500</v>
      </c>
      <c r="M15" s="2">
        <v>125</v>
      </c>
      <c r="N15" s="2">
        <v>0</v>
      </c>
      <c r="O15" s="2">
        <v>0</v>
      </c>
      <c r="P15" s="2">
        <v>0</v>
      </c>
      <c r="Q15" s="2">
        <v>2625</v>
      </c>
      <c r="R15" t="s">
        <v>40</v>
      </c>
      <c r="S15" t="s">
        <v>40</v>
      </c>
      <c r="T15" t="s">
        <v>40</v>
      </c>
    </row>
    <row r="16" spans="1:20" x14ac:dyDescent="0.25">
      <c r="A16" t="s">
        <v>86</v>
      </c>
      <c r="B16" t="s">
        <v>40</v>
      </c>
      <c r="C16" s="1" t="s">
        <v>40</v>
      </c>
      <c r="D16" t="s">
        <v>87</v>
      </c>
      <c r="E16" t="s">
        <v>41</v>
      </c>
      <c r="F16" s="1" t="s">
        <v>88</v>
      </c>
      <c r="G16" t="s">
        <v>43</v>
      </c>
      <c r="H16" t="s">
        <v>75</v>
      </c>
      <c r="I16" t="s">
        <v>76</v>
      </c>
      <c r="J16" t="s">
        <v>49</v>
      </c>
      <c r="K16" s="2" t="s">
        <v>40</v>
      </c>
      <c r="L16" s="2">
        <v>3000</v>
      </c>
      <c r="M16" s="2">
        <v>150</v>
      </c>
      <c r="N16" s="2">
        <v>0</v>
      </c>
      <c r="O16" s="2">
        <v>0</v>
      </c>
      <c r="P16" s="2">
        <v>0</v>
      </c>
      <c r="Q16" s="2">
        <v>3150</v>
      </c>
      <c r="R16" t="s">
        <v>40</v>
      </c>
      <c r="S16" t="s">
        <v>40</v>
      </c>
      <c r="T16" t="s">
        <v>40</v>
      </c>
    </row>
    <row r="17" spans="1:20" x14ac:dyDescent="0.25">
      <c r="A17" t="s">
        <v>96</v>
      </c>
      <c r="B17" t="s">
        <v>40</v>
      </c>
      <c r="C17" s="1" t="s">
        <v>40</v>
      </c>
      <c r="D17" t="s">
        <v>97</v>
      </c>
      <c r="E17" t="s">
        <v>41</v>
      </c>
      <c r="F17" s="1" t="s">
        <v>98</v>
      </c>
      <c r="G17" t="s">
        <v>43</v>
      </c>
      <c r="H17" t="s">
        <v>75</v>
      </c>
      <c r="I17" t="s">
        <v>76</v>
      </c>
      <c r="J17" t="s">
        <v>49</v>
      </c>
      <c r="K17" s="2" t="s">
        <v>40</v>
      </c>
      <c r="L17" s="2">
        <v>1500</v>
      </c>
      <c r="M17" s="2">
        <v>75</v>
      </c>
      <c r="N17" s="2">
        <v>0</v>
      </c>
      <c r="O17" s="2">
        <v>0</v>
      </c>
      <c r="P17" s="2">
        <v>0</v>
      </c>
      <c r="Q17" s="2">
        <v>1575</v>
      </c>
      <c r="R17" t="s">
        <v>40</v>
      </c>
      <c r="S17" t="s">
        <v>40</v>
      </c>
      <c r="T17" t="s">
        <v>40</v>
      </c>
    </row>
    <row r="18" spans="1:20" x14ac:dyDescent="0.25">
      <c r="A18" t="s">
        <v>92</v>
      </c>
      <c r="B18" t="s">
        <v>40</v>
      </c>
      <c r="C18" s="1" t="s">
        <v>40</v>
      </c>
      <c r="D18" t="s">
        <v>93</v>
      </c>
      <c r="E18" t="s">
        <v>41</v>
      </c>
      <c r="F18" s="1" t="s">
        <v>94</v>
      </c>
      <c r="G18" t="s">
        <v>43</v>
      </c>
      <c r="H18" t="s">
        <v>95</v>
      </c>
      <c r="I18" t="s">
        <v>40</v>
      </c>
      <c r="J18" t="s">
        <v>49</v>
      </c>
      <c r="K18" s="2" t="s">
        <v>40</v>
      </c>
      <c r="L18" s="2">
        <v>37142.9</v>
      </c>
      <c r="M18" s="2">
        <v>0</v>
      </c>
      <c r="N18" s="2">
        <v>928.57</v>
      </c>
      <c r="O18" s="2">
        <v>928.57</v>
      </c>
      <c r="P18" s="2">
        <v>0</v>
      </c>
      <c r="Q18" s="2">
        <v>39000</v>
      </c>
      <c r="R18" t="s">
        <v>40</v>
      </c>
      <c r="S18" t="s">
        <v>40</v>
      </c>
      <c r="T18" t="s">
        <v>40</v>
      </c>
    </row>
    <row r="19" spans="1:20" x14ac:dyDescent="0.25">
      <c r="A19" t="s">
        <v>99</v>
      </c>
      <c r="B19" t="s">
        <v>40</v>
      </c>
      <c r="C19" s="1" t="s">
        <v>40</v>
      </c>
      <c r="D19" t="s">
        <v>100</v>
      </c>
      <c r="E19" t="s">
        <v>41</v>
      </c>
      <c r="F19" s="1" t="s">
        <v>101</v>
      </c>
      <c r="G19" t="s">
        <v>43</v>
      </c>
      <c r="H19" t="s">
        <v>75</v>
      </c>
      <c r="I19" t="s">
        <v>76</v>
      </c>
      <c r="J19" t="s">
        <v>49</v>
      </c>
      <c r="K19" s="2" t="s">
        <v>40</v>
      </c>
      <c r="L19" s="2">
        <v>1500</v>
      </c>
      <c r="M19" s="2">
        <v>75</v>
      </c>
      <c r="N19" s="2">
        <v>0</v>
      </c>
      <c r="O19" s="2">
        <v>0</v>
      </c>
      <c r="P19" s="2">
        <v>0</v>
      </c>
      <c r="Q19" s="2">
        <v>1575</v>
      </c>
      <c r="R19" t="s">
        <v>40</v>
      </c>
      <c r="S19" t="s">
        <v>40</v>
      </c>
      <c r="T19" t="s">
        <v>40</v>
      </c>
    </row>
    <row r="20" spans="1:20" x14ac:dyDescent="0.25">
      <c r="A20" t="s">
        <v>102</v>
      </c>
      <c r="B20" t="s">
        <v>40</v>
      </c>
      <c r="C20" s="1" t="s">
        <v>40</v>
      </c>
      <c r="D20" t="s">
        <v>103</v>
      </c>
      <c r="E20" t="s">
        <v>41</v>
      </c>
      <c r="F20" s="1" t="s">
        <v>101</v>
      </c>
      <c r="G20" t="s">
        <v>43</v>
      </c>
      <c r="H20" t="s">
        <v>75</v>
      </c>
      <c r="I20" t="s">
        <v>76</v>
      </c>
      <c r="J20" t="s">
        <v>49</v>
      </c>
      <c r="K20" s="2" t="s">
        <v>40</v>
      </c>
      <c r="L20" s="2">
        <v>2000</v>
      </c>
      <c r="M20" s="2">
        <v>100</v>
      </c>
      <c r="N20" s="2">
        <v>0</v>
      </c>
      <c r="O20" s="2">
        <v>0</v>
      </c>
      <c r="P20" s="2">
        <v>0</v>
      </c>
      <c r="Q20" s="2">
        <v>2100</v>
      </c>
      <c r="R20" t="s">
        <v>40</v>
      </c>
      <c r="S20" t="s">
        <v>40</v>
      </c>
      <c r="T20" t="s">
        <v>40</v>
      </c>
    </row>
    <row r="21" spans="1:20" x14ac:dyDescent="0.25">
      <c r="A21" t="s">
        <v>104</v>
      </c>
      <c r="B21" t="s">
        <v>40</v>
      </c>
      <c r="C21" s="1" t="s">
        <v>40</v>
      </c>
      <c r="D21" t="s">
        <v>105</v>
      </c>
      <c r="E21" t="s">
        <v>41</v>
      </c>
      <c r="F21" s="1" t="s">
        <v>106</v>
      </c>
      <c r="G21" t="s">
        <v>43</v>
      </c>
      <c r="H21" t="s">
        <v>75</v>
      </c>
      <c r="I21" t="s">
        <v>76</v>
      </c>
      <c r="J21" t="s">
        <v>49</v>
      </c>
      <c r="K21" s="2" t="s">
        <v>40</v>
      </c>
      <c r="L21" s="2">
        <v>1800</v>
      </c>
      <c r="M21" s="2">
        <v>90</v>
      </c>
      <c r="N21" s="2">
        <v>0</v>
      </c>
      <c r="O21" s="2">
        <v>0</v>
      </c>
      <c r="P21" s="2">
        <v>0</v>
      </c>
      <c r="Q21" s="2">
        <v>1890</v>
      </c>
      <c r="R21" t="s">
        <v>40</v>
      </c>
      <c r="S21" t="s">
        <v>40</v>
      </c>
      <c r="T21" t="s">
        <v>40</v>
      </c>
    </row>
    <row r="22" spans="1:20" x14ac:dyDescent="0.25">
      <c r="A22" t="s">
        <v>107</v>
      </c>
      <c r="B22" t="s">
        <v>40</v>
      </c>
      <c r="C22" s="1" t="s">
        <v>40</v>
      </c>
      <c r="D22" t="s">
        <v>108</v>
      </c>
      <c r="E22" t="s">
        <v>41</v>
      </c>
      <c r="F22" s="1" t="s">
        <v>109</v>
      </c>
      <c r="G22" t="s">
        <v>43</v>
      </c>
      <c r="H22" t="s">
        <v>75</v>
      </c>
      <c r="I22" t="s">
        <v>76</v>
      </c>
      <c r="J22" t="s">
        <v>49</v>
      </c>
      <c r="K22" s="2" t="s">
        <v>40</v>
      </c>
      <c r="L22" s="2">
        <v>3000</v>
      </c>
      <c r="M22" s="2">
        <v>150</v>
      </c>
      <c r="N22" s="2">
        <v>0</v>
      </c>
      <c r="O22" s="2">
        <v>0</v>
      </c>
      <c r="P22" s="2">
        <v>0</v>
      </c>
      <c r="Q22" s="2">
        <v>3150</v>
      </c>
      <c r="R22" t="s">
        <v>40</v>
      </c>
      <c r="S22" t="s">
        <v>40</v>
      </c>
      <c r="T22" t="s">
        <v>40</v>
      </c>
    </row>
    <row r="23" spans="1:20" x14ac:dyDescent="0.25">
      <c r="A23" t="s">
        <v>110</v>
      </c>
      <c r="B23" t="s">
        <v>40</v>
      </c>
      <c r="C23" s="1" t="s">
        <v>40</v>
      </c>
      <c r="D23" t="s">
        <v>111</v>
      </c>
      <c r="E23" t="s">
        <v>41</v>
      </c>
      <c r="F23" s="1" t="s">
        <v>112</v>
      </c>
      <c r="G23" t="s">
        <v>43</v>
      </c>
      <c r="H23" t="s">
        <v>75</v>
      </c>
      <c r="I23" t="s">
        <v>76</v>
      </c>
      <c r="J23" t="s">
        <v>49</v>
      </c>
      <c r="K23" s="2" t="s">
        <v>40</v>
      </c>
      <c r="L23" s="2">
        <v>2800</v>
      </c>
      <c r="M23" s="2">
        <v>140</v>
      </c>
      <c r="N23" s="2">
        <v>0</v>
      </c>
      <c r="O23" s="2">
        <v>0</v>
      </c>
      <c r="P23" s="2">
        <v>0</v>
      </c>
      <c r="Q23" s="2">
        <v>2940</v>
      </c>
      <c r="R23" t="s">
        <v>40</v>
      </c>
      <c r="S23" t="s">
        <v>40</v>
      </c>
      <c r="T23" t="s">
        <v>40</v>
      </c>
    </row>
    <row r="24" spans="1:20" x14ac:dyDescent="0.25">
      <c r="A24" t="s">
        <v>113</v>
      </c>
      <c r="B24" t="s">
        <v>40</v>
      </c>
      <c r="C24" s="1" t="s">
        <v>40</v>
      </c>
      <c r="D24" t="s">
        <v>114</v>
      </c>
      <c r="E24" t="s">
        <v>41</v>
      </c>
      <c r="F24" s="1" t="s">
        <v>112</v>
      </c>
      <c r="G24" t="s">
        <v>43</v>
      </c>
      <c r="H24" t="s">
        <v>75</v>
      </c>
      <c r="I24" t="s">
        <v>76</v>
      </c>
      <c r="J24" t="s">
        <v>49</v>
      </c>
      <c r="K24" s="2" t="s">
        <v>40</v>
      </c>
      <c r="L24" s="2">
        <v>3800</v>
      </c>
      <c r="M24" s="2">
        <v>190</v>
      </c>
      <c r="N24" s="2">
        <v>0</v>
      </c>
      <c r="O24" s="2">
        <v>0</v>
      </c>
      <c r="P24" s="2">
        <v>0</v>
      </c>
      <c r="Q24" s="2">
        <v>3990</v>
      </c>
      <c r="R24" t="s">
        <v>40</v>
      </c>
      <c r="S24" t="s">
        <v>40</v>
      </c>
      <c r="T24" t="s">
        <v>40</v>
      </c>
    </row>
    <row r="25" spans="1:20" x14ac:dyDescent="0.25">
      <c r="A25" t="s">
        <v>115</v>
      </c>
      <c r="B25" t="s">
        <v>40</v>
      </c>
      <c r="C25" s="1" t="s">
        <v>40</v>
      </c>
      <c r="D25" t="s">
        <v>116</v>
      </c>
      <c r="E25" t="s">
        <v>41</v>
      </c>
      <c r="F25" s="1" t="s">
        <v>112</v>
      </c>
      <c r="G25" t="s">
        <v>43</v>
      </c>
      <c r="H25" t="s">
        <v>75</v>
      </c>
      <c r="I25" t="s">
        <v>76</v>
      </c>
      <c r="J25" t="s">
        <v>49</v>
      </c>
      <c r="K25" s="2" t="s">
        <v>40</v>
      </c>
      <c r="L25" s="2">
        <v>2500</v>
      </c>
      <c r="M25" s="2">
        <v>125</v>
      </c>
      <c r="N25" s="2">
        <v>0</v>
      </c>
      <c r="O25" s="2">
        <v>0</v>
      </c>
      <c r="P25" s="2">
        <v>0</v>
      </c>
      <c r="Q25" s="2">
        <v>2625</v>
      </c>
      <c r="R25" t="s">
        <v>40</v>
      </c>
      <c r="S25" t="s">
        <v>40</v>
      </c>
      <c r="T25" t="s">
        <v>40</v>
      </c>
    </row>
    <row r="26" spans="1:20" x14ac:dyDescent="0.25">
      <c r="A26" t="s">
        <v>117</v>
      </c>
      <c r="B26" t="s">
        <v>40</v>
      </c>
      <c r="C26" s="1" t="s">
        <v>40</v>
      </c>
      <c r="D26" t="s">
        <v>118</v>
      </c>
      <c r="E26" t="s">
        <v>41</v>
      </c>
      <c r="F26" s="1" t="s">
        <v>112</v>
      </c>
      <c r="G26" t="s">
        <v>43</v>
      </c>
      <c r="H26" t="s">
        <v>75</v>
      </c>
      <c r="I26" t="s">
        <v>76</v>
      </c>
      <c r="J26" t="s">
        <v>49</v>
      </c>
      <c r="K26" s="2" t="s">
        <v>40</v>
      </c>
      <c r="L26" s="2">
        <v>4000</v>
      </c>
      <c r="M26" s="2">
        <v>200</v>
      </c>
      <c r="N26" s="2">
        <v>0</v>
      </c>
      <c r="O26" s="2">
        <v>0</v>
      </c>
      <c r="P26" s="2">
        <v>0</v>
      </c>
      <c r="Q26" s="2">
        <v>4200</v>
      </c>
      <c r="R26" t="s">
        <v>40</v>
      </c>
      <c r="S26" t="s">
        <v>40</v>
      </c>
      <c r="T26" t="s">
        <v>40</v>
      </c>
    </row>
    <row r="27" spans="1:20" x14ac:dyDescent="0.25">
      <c r="A27" t="s">
        <v>119</v>
      </c>
      <c r="B27" t="s">
        <v>40</v>
      </c>
      <c r="C27" s="1" t="s">
        <v>40</v>
      </c>
      <c r="D27" t="s">
        <v>120</v>
      </c>
      <c r="E27" t="s">
        <v>41</v>
      </c>
      <c r="F27" s="1" t="s">
        <v>121</v>
      </c>
      <c r="G27" t="s">
        <v>43</v>
      </c>
      <c r="H27" t="s">
        <v>75</v>
      </c>
      <c r="I27" t="s">
        <v>76</v>
      </c>
      <c r="J27" t="s">
        <v>49</v>
      </c>
      <c r="K27" s="2" t="s">
        <v>40</v>
      </c>
      <c r="L27" s="2">
        <v>3000</v>
      </c>
      <c r="M27" s="2">
        <v>150</v>
      </c>
      <c r="N27" s="2">
        <v>0</v>
      </c>
      <c r="O27" s="2">
        <v>0</v>
      </c>
      <c r="P27" s="2">
        <v>0</v>
      </c>
      <c r="Q27" s="2">
        <v>3150</v>
      </c>
      <c r="R27" t="s">
        <v>40</v>
      </c>
      <c r="S27" t="s">
        <v>40</v>
      </c>
      <c r="T27" t="s">
        <v>40</v>
      </c>
    </row>
    <row r="28" spans="1:20" x14ac:dyDescent="0.25">
      <c r="A28" t="s">
        <v>122</v>
      </c>
      <c r="B28" t="s">
        <v>40</v>
      </c>
      <c r="C28" s="1" t="s">
        <v>40</v>
      </c>
      <c r="D28" t="s">
        <v>123</v>
      </c>
      <c r="E28" t="s">
        <v>41</v>
      </c>
      <c r="F28" s="1" t="s">
        <v>121</v>
      </c>
      <c r="G28" t="s">
        <v>43</v>
      </c>
      <c r="H28" t="s">
        <v>75</v>
      </c>
      <c r="I28" t="s">
        <v>76</v>
      </c>
      <c r="J28" t="s">
        <v>49</v>
      </c>
      <c r="K28" s="2" t="s">
        <v>40</v>
      </c>
      <c r="L28" s="2">
        <v>3000</v>
      </c>
      <c r="M28" s="2">
        <v>150</v>
      </c>
      <c r="N28" s="2">
        <v>0</v>
      </c>
      <c r="O28" s="2">
        <v>0</v>
      </c>
      <c r="P28" s="2">
        <v>0</v>
      </c>
      <c r="Q28" s="2">
        <v>3150</v>
      </c>
      <c r="R28" t="s">
        <v>40</v>
      </c>
      <c r="S28" t="s">
        <v>40</v>
      </c>
      <c r="T28" t="s">
        <v>40</v>
      </c>
    </row>
    <row r="29" spans="1:20" x14ac:dyDescent="0.25">
      <c r="A29" t="s">
        <v>124</v>
      </c>
      <c r="B29" t="s">
        <v>40</v>
      </c>
      <c r="C29" s="1" t="s">
        <v>40</v>
      </c>
      <c r="D29" t="s">
        <v>125</v>
      </c>
      <c r="E29" t="s">
        <v>41</v>
      </c>
      <c r="F29" s="1" t="s">
        <v>121</v>
      </c>
      <c r="G29" t="s">
        <v>43</v>
      </c>
      <c r="H29" t="s">
        <v>75</v>
      </c>
      <c r="I29" t="s">
        <v>76</v>
      </c>
      <c r="J29" t="s">
        <v>49</v>
      </c>
      <c r="K29" s="2" t="s">
        <v>40</v>
      </c>
      <c r="L29" s="2">
        <v>1500</v>
      </c>
      <c r="M29" s="2">
        <v>75</v>
      </c>
      <c r="N29" s="2">
        <v>0</v>
      </c>
      <c r="O29" s="2">
        <v>0</v>
      </c>
      <c r="P29" s="2">
        <v>0</v>
      </c>
      <c r="Q29" s="2">
        <v>1575</v>
      </c>
      <c r="R29" t="s">
        <v>40</v>
      </c>
      <c r="S29" t="s">
        <v>40</v>
      </c>
      <c r="T29" t="s">
        <v>40</v>
      </c>
    </row>
    <row r="30" spans="1:20" x14ac:dyDescent="0.25">
      <c r="A30" t="s">
        <v>126</v>
      </c>
      <c r="B30" t="s">
        <v>40</v>
      </c>
      <c r="C30" s="1" t="s">
        <v>40</v>
      </c>
      <c r="D30" t="s">
        <v>127</v>
      </c>
      <c r="E30" t="s">
        <v>41</v>
      </c>
      <c r="F30" s="1" t="s">
        <v>121</v>
      </c>
      <c r="G30" t="s">
        <v>43</v>
      </c>
      <c r="H30" t="s">
        <v>75</v>
      </c>
      <c r="I30" t="s">
        <v>76</v>
      </c>
      <c r="J30" t="s">
        <v>49</v>
      </c>
      <c r="K30" s="2" t="s">
        <v>40</v>
      </c>
      <c r="L30" s="2">
        <v>1800</v>
      </c>
      <c r="M30" s="2">
        <v>90</v>
      </c>
      <c r="N30" s="2">
        <v>0</v>
      </c>
      <c r="O30" s="2">
        <v>0</v>
      </c>
      <c r="P30" s="2">
        <v>0</v>
      </c>
      <c r="Q30" s="2">
        <v>1890</v>
      </c>
      <c r="R30" t="s">
        <v>40</v>
      </c>
      <c r="S30" t="s">
        <v>40</v>
      </c>
      <c r="T30" t="s">
        <v>40</v>
      </c>
    </row>
    <row r="31" spans="1:20" x14ac:dyDescent="0.25">
      <c r="A31" t="s">
        <v>93</v>
      </c>
      <c r="B31" t="s">
        <v>40</v>
      </c>
      <c r="C31" s="1" t="s">
        <v>40</v>
      </c>
      <c r="D31" t="s">
        <v>128</v>
      </c>
      <c r="E31" t="s">
        <v>41</v>
      </c>
      <c r="F31" s="1" t="s">
        <v>129</v>
      </c>
      <c r="G31" t="s">
        <v>43</v>
      </c>
      <c r="H31" t="s">
        <v>75</v>
      </c>
      <c r="I31" t="s">
        <v>76</v>
      </c>
      <c r="J31" t="s">
        <v>49</v>
      </c>
      <c r="K31" s="2" t="s">
        <v>40</v>
      </c>
      <c r="L31" s="2">
        <v>2800</v>
      </c>
      <c r="M31" s="2">
        <v>140</v>
      </c>
      <c r="N31" s="2">
        <v>0</v>
      </c>
      <c r="O31" s="2">
        <v>0</v>
      </c>
      <c r="P31" s="2">
        <v>0</v>
      </c>
      <c r="Q31" s="2">
        <v>2940</v>
      </c>
      <c r="R31" t="s">
        <v>40</v>
      </c>
      <c r="S31" t="s">
        <v>40</v>
      </c>
      <c r="T31" t="s">
        <v>40</v>
      </c>
    </row>
    <row r="32" spans="1:20" x14ac:dyDescent="0.25">
      <c r="A32" t="s">
        <v>130</v>
      </c>
      <c r="B32" t="s">
        <v>40</v>
      </c>
      <c r="C32" s="1" t="s">
        <v>40</v>
      </c>
      <c r="D32" t="s">
        <v>131</v>
      </c>
      <c r="E32" t="s">
        <v>41</v>
      </c>
      <c r="F32" s="1" t="s">
        <v>132</v>
      </c>
      <c r="G32" t="s">
        <v>43</v>
      </c>
      <c r="H32" t="s">
        <v>75</v>
      </c>
      <c r="I32" t="s">
        <v>76</v>
      </c>
      <c r="J32" t="s">
        <v>49</v>
      </c>
      <c r="K32" s="2" t="s">
        <v>40</v>
      </c>
      <c r="L32" s="2">
        <v>2800</v>
      </c>
      <c r="M32" s="2">
        <v>140</v>
      </c>
      <c r="N32" s="2">
        <v>0</v>
      </c>
      <c r="O32" s="2">
        <v>0</v>
      </c>
      <c r="P32" s="2">
        <v>0</v>
      </c>
      <c r="Q32" s="2">
        <v>2940</v>
      </c>
      <c r="R32" t="s">
        <v>40</v>
      </c>
      <c r="S32" t="s">
        <v>40</v>
      </c>
      <c r="T32" t="s">
        <v>40</v>
      </c>
    </row>
    <row r="33" spans="1:20" x14ac:dyDescent="0.25">
      <c r="A33" t="s">
        <v>133</v>
      </c>
      <c r="B33" t="s">
        <v>40</v>
      </c>
      <c r="C33" s="1" t="s">
        <v>40</v>
      </c>
      <c r="D33" t="s">
        <v>134</v>
      </c>
      <c r="E33" t="s">
        <v>41</v>
      </c>
      <c r="F33" s="1" t="s">
        <v>132</v>
      </c>
      <c r="G33" t="s">
        <v>43</v>
      </c>
      <c r="H33" t="s">
        <v>75</v>
      </c>
      <c r="I33" t="s">
        <v>76</v>
      </c>
      <c r="J33" t="s">
        <v>49</v>
      </c>
      <c r="K33" s="2" t="s">
        <v>40</v>
      </c>
      <c r="L33" s="2">
        <v>5600</v>
      </c>
      <c r="M33" s="2">
        <v>280</v>
      </c>
      <c r="N33" s="2">
        <v>0</v>
      </c>
      <c r="O33" s="2">
        <v>0</v>
      </c>
      <c r="P33" s="2">
        <v>0</v>
      </c>
      <c r="Q33" s="2">
        <v>5880</v>
      </c>
      <c r="R33" t="s">
        <v>40</v>
      </c>
      <c r="S33" t="s">
        <v>40</v>
      </c>
      <c r="T33" t="s">
        <v>40</v>
      </c>
    </row>
    <row r="34" spans="1:20" x14ac:dyDescent="0.25">
      <c r="A34" t="s">
        <v>135</v>
      </c>
      <c r="B34" t="s">
        <v>40</v>
      </c>
      <c r="C34" s="1" t="s">
        <v>40</v>
      </c>
      <c r="D34" t="s">
        <v>136</v>
      </c>
      <c r="E34" t="s">
        <v>41</v>
      </c>
      <c r="F34" s="1" t="s">
        <v>132</v>
      </c>
      <c r="G34" t="s">
        <v>43</v>
      </c>
      <c r="H34" t="s">
        <v>75</v>
      </c>
      <c r="I34" t="s">
        <v>76</v>
      </c>
      <c r="J34" t="s">
        <v>49</v>
      </c>
      <c r="K34" s="2" t="s">
        <v>40</v>
      </c>
      <c r="L34" s="2">
        <v>6300</v>
      </c>
      <c r="M34" s="2">
        <v>315</v>
      </c>
      <c r="N34" s="2">
        <v>0</v>
      </c>
      <c r="O34" s="2">
        <v>0</v>
      </c>
      <c r="P34" s="2">
        <v>0</v>
      </c>
      <c r="Q34" s="2">
        <v>6615</v>
      </c>
      <c r="R34" t="s">
        <v>40</v>
      </c>
      <c r="S34" t="s">
        <v>40</v>
      </c>
      <c r="T34" t="s">
        <v>40</v>
      </c>
    </row>
    <row r="35" spans="1:20" x14ac:dyDescent="0.25">
      <c r="A35" t="s">
        <v>89</v>
      </c>
      <c r="B35" t="s">
        <v>40</v>
      </c>
      <c r="C35" s="1" t="s">
        <v>40</v>
      </c>
      <c r="D35" t="s">
        <v>90</v>
      </c>
      <c r="E35" t="s">
        <v>41</v>
      </c>
      <c r="F35" s="1" t="s">
        <v>91</v>
      </c>
      <c r="G35" t="s">
        <v>43</v>
      </c>
      <c r="H35" t="s">
        <v>75</v>
      </c>
      <c r="I35" t="s">
        <v>76</v>
      </c>
      <c r="J35" t="s">
        <v>49</v>
      </c>
      <c r="K35" s="2" t="s">
        <v>40</v>
      </c>
      <c r="L35" s="2">
        <v>2800</v>
      </c>
      <c r="M35" s="2">
        <v>140</v>
      </c>
      <c r="N35" s="2">
        <v>0</v>
      </c>
      <c r="O35" s="2">
        <v>0</v>
      </c>
      <c r="P35" s="2">
        <v>0</v>
      </c>
      <c r="Q35" s="2">
        <v>2940</v>
      </c>
      <c r="R35" t="s">
        <v>40</v>
      </c>
      <c r="S35" t="s">
        <v>40</v>
      </c>
      <c r="T35" t="s">
        <v>40</v>
      </c>
    </row>
    <row r="36" spans="1:20" x14ac:dyDescent="0.25">
      <c r="A36" t="s">
        <v>139</v>
      </c>
      <c r="B36" t="s">
        <v>40</v>
      </c>
      <c r="C36" s="1" t="s">
        <v>40</v>
      </c>
      <c r="D36" t="s">
        <v>140</v>
      </c>
      <c r="E36" t="s">
        <v>41</v>
      </c>
      <c r="F36" s="1" t="s">
        <v>91</v>
      </c>
      <c r="G36" t="s">
        <v>43</v>
      </c>
      <c r="H36" t="s">
        <v>95</v>
      </c>
      <c r="I36" t="s">
        <v>40</v>
      </c>
      <c r="J36" t="s">
        <v>49</v>
      </c>
      <c r="K36" s="2" t="s">
        <v>40</v>
      </c>
      <c r="L36" s="2">
        <v>37142.9</v>
      </c>
      <c r="M36" s="2">
        <v>0</v>
      </c>
      <c r="N36" s="2">
        <v>928.57</v>
      </c>
      <c r="O36" s="2">
        <v>928.57</v>
      </c>
      <c r="P36" s="2">
        <v>0</v>
      </c>
      <c r="Q36" s="2">
        <v>39000</v>
      </c>
      <c r="R36" t="s">
        <v>40</v>
      </c>
      <c r="S36" t="s">
        <v>40</v>
      </c>
      <c r="T36" t="s">
        <v>40</v>
      </c>
    </row>
    <row r="37" spans="1:20" x14ac:dyDescent="0.25">
      <c r="A37" t="s">
        <v>145</v>
      </c>
      <c r="B37" t="s">
        <v>40</v>
      </c>
      <c r="C37" s="1" t="s">
        <v>40</v>
      </c>
      <c r="D37" t="s">
        <v>146</v>
      </c>
      <c r="E37" t="s">
        <v>41</v>
      </c>
      <c r="F37" s="1" t="s">
        <v>147</v>
      </c>
      <c r="G37" t="s">
        <v>43</v>
      </c>
      <c r="H37" t="s">
        <v>75</v>
      </c>
      <c r="I37" t="s">
        <v>76</v>
      </c>
      <c r="J37" t="s">
        <v>49</v>
      </c>
      <c r="K37" s="2" t="s">
        <v>40</v>
      </c>
      <c r="L37" s="2">
        <v>3800</v>
      </c>
      <c r="M37" s="2">
        <v>190</v>
      </c>
      <c r="N37" s="2">
        <v>0</v>
      </c>
      <c r="O37" s="2">
        <v>0</v>
      </c>
      <c r="P37" s="2">
        <v>0</v>
      </c>
      <c r="Q37" s="2">
        <v>3990</v>
      </c>
      <c r="R37" t="s">
        <v>40</v>
      </c>
      <c r="S37" t="s">
        <v>40</v>
      </c>
      <c r="T37" t="s">
        <v>40</v>
      </c>
    </row>
    <row r="38" spans="1:20" x14ac:dyDescent="0.25">
      <c r="A38" t="s">
        <v>150</v>
      </c>
      <c r="B38" t="s">
        <v>40</v>
      </c>
      <c r="C38" s="1" t="s">
        <v>40</v>
      </c>
      <c r="D38" t="s">
        <v>151</v>
      </c>
      <c r="E38" t="s">
        <v>41</v>
      </c>
      <c r="F38" s="1" t="s">
        <v>147</v>
      </c>
      <c r="G38" t="s">
        <v>43</v>
      </c>
      <c r="H38" t="s">
        <v>75</v>
      </c>
      <c r="I38" t="s">
        <v>76</v>
      </c>
      <c r="J38" t="s">
        <v>49</v>
      </c>
      <c r="K38" s="2" t="s">
        <v>40</v>
      </c>
      <c r="L38" s="2">
        <v>2500</v>
      </c>
      <c r="M38" s="2">
        <v>125</v>
      </c>
      <c r="N38" s="2">
        <v>0</v>
      </c>
      <c r="O38" s="2">
        <v>0</v>
      </c>
      <c r="P38" s="2">
        <v>0</v>
      </c>
      <c r="Q38" s="2">
        <v>2625</v>
      </c>
      <c r="R38" t="s">
        <v>40</v>
      </c>
      <c r="S38" t="s">
        <v>40</v>
      </c>
      <c r="T38" t="s">
        <v>40</v>
      </c>
    </row>
    <row r="39" spans="1:20" x14ac:dyDescent="0.25">
      <c r="A39" t="s">
        <v>155</v>
      </c>
      <c r="B39" t="s">
        <v>40</v>
      </c>
      <c r="C39" s="1" t="s">
        <v>40</v>
      </c>
      <c r="D39" t="s">
        <v>156</v>
      </c>
      <c r="E39" t="s">
        <v>41</v>
      </c>
      <c r="F39" s="1" t="s">
        <v>147</v>
      </c>
      <c r="G39" t="s">
        <v>43</v>
      </c>
      <c r="H39" t="s">
        <v>75</v>
      </c>
      <c r="I39" t="s">
        <v>76</v>
      </c>
      <c r="J39" t="s">
        <v>49</v>
      </c>
      <c r="K39" s="2" t="s">
        <v>40</v>
      </c>
      <c r="L39" s="2">
        <v>11150</v>
      </c>
      <c r="M39" s="2">
        <v>857.5</v>
      </c>
      <c r="N39" s="2">
        <v>0</v>
      </c>
      <c r="O39" s="2">
        <v>0</v>
      </c>
      <c r="P39" s="2">
        <v>0</v>
      </c>
      <c r="Q39" s="2">
        <v>18008</v>
      </c>
      <c r="R39" t="s">
        <v>40</v>
      </c>
      <c r="S39" t="s">
        <v>40</v>
      </c>
      <c r="T39" t="s">
        <v>40</v>
      </c>
    </row>
    <row r="40" spans="1:20" x14ac:dyDescent="0.25">
      <c r="A40" t="s">
        <v>157</v>
      </c>
      <c r="B40" t="s">
        <v>40</v>
      </c>
      <c r="C40" s="1" t="s">
        <v>40</v>
      </c>
      <c r="D40" t="s">
        <v>158</v>
      </c>
      <c r="E40" t="s">
        <v>41</v>
      </c>
      <c r="F40" s="1" t="s">
        <v>159</v>
      </c>
      <c r="G40" t="s">
        <v>43</v>
      </c>
      <c r="H40" t="s">
        <v>75</v>
      </c>
      <c r="I40" t="s">
        <v>76</v>
      </c>
      <c r="J40" t="s">
        <v>49</v>
      </c>
      <c r="K40" s="2" t="s">
        <v>40</v>
      </c>
      <c r="L40" s="2">
        <v>3500</v>
      </c>
      <c r="M40" s="2">
        <v>175</v>
      </c>
      <c r="N40" s="2">
        <v>0</v>
      </c>
      <c r="O40" s="2">
        <v>0</v>
      </c>
      <c r="P40" s="2">
        <v>0</v>
      </c>
      <c r="Q40" s="2">
        <v>3675</v>
      </c>
      <c r="R40" t="s">
        <v>40</v>
      </c>
      <c r="S40" t="s">
        <v>40</v>
      </c>
      <c r="T40" t="s">
        <v>40</v>
      </c>
    </row>
    <row r="41" spans="1:20" x14ac:dyDescent="0.25">
      <c r="A41" t="s">
        <v>160</v>
      </c>
      <c r="B41" t="s">
        <v>40</v>
      </c>
      <c r="C41" s="1" t="s">
        <v>40</v>
      </c>
      <c r="D41" t="s">
        <v>161</v>
      </c>
      <c r="E41" t="s">
        <v>41</v>
      </c>
      <c r="F41" s="1" t="s">
        <v>159</v>
      </c>
      <c r="G41" t="s">
        <v>43</v>
      </c>
      <c r="H41" t="s">
        <v>75</v>
      </c>
      <c r="I41" t="s">
        <v>76</v>
      </c>
      <c r="J41" t="s">
        <v>49</v>
      </c>
      <c r="K41" s="2" t="s">
        <v>40</v>
      </c>
      <c r="L41" s="2">
        <v>2000</v>
      </c>
      <c r="M41" s="2">
        <v>100</v>
      </c>
      <c r="N41" s="2">
        <v>0</v>
      </c>
      <c r="O41" s="2">
        <v>0</v>
      </c>
      <c r="P41" s="2">
        <v>0</v>
      </c>
      <c r="Q41" s="2">
        <v>2100</v>
      </c>
      <c r="R41" t="s">
        <v>40</v>
      </c>
      <c r="S41" t="s">
        <v>40</v>
      </c>
      <c r="T41" t="s">
        <v>40</v>
      </c>
    </row>
    <row r="42" spans="1:20" x14ac:dyDescent="0.25">
      <c r="A42" t="s">
        <v>162</v>
      </c>
      <c r="B42" t="s">
        <v>40</v>
      </c>
      <c r="C42" s="1" t="s">
        <v>40</v>
      </c>
      <c r="D42" t="s">
        <v>163</v>
      </c>
      <c r="E42" t="s">
        <v>41</v>
      </c>
      <c r="F42" s="1" t="s">
        <v>164</v>
      </c>
      <c r="G42" t="s">
        <v>43</v>
      </c>
      <c r="H42" t="s">
        <v>75</v>
      </c>
      <c r="I42" t="s">
        <v>76</v>
      </c>
      <c r="J42" t="s">
        <v>49</v>
      </c>
      <c r="K42" s="2" t="s">
        <v>40</v>
      </c>
      <c r="L42" s="2">
        <v>1500</v>
      </c>
      <c r="M42" s="2">
        <v>75</v>
      </c>
      <c r="N42" s="2">
        <v>0</v>
      </c>
      <c r="O42" s="2">
        <v>0</v>
      </c>
      <c r="P42" s="2">
        <v>0</v>
      </c>
      <c r="Q42" s="2">
        <v>1575</v>
      </c>
      <c r="R42" t="s">
        <v>40</v>
      </c>
      <c r="S42" t="s">
        <v>40</v>
      </c>
      <c r="T42" t="s">
        <v>40</v>
      </c>
    </row>
    <row r="43" spans="1:20" x14ac:dyDescent="0.25">
      <c r="A43" t="s">
        <v>165</v>
      </c>
      <c r="B43" t="s">
        <v>40</v>
      </c>
      <c r="C43" s="1" t="s">
        <v>40</v>
      </c>
      <c r="D43" t="s">
        <v>166</v>
      </c>
      <c r="E43" t="s">
        <v>41</v>
      </c>
      <c r="F43" s="1" t="s">
        <v>164</v>
      </c>
      <c r="G43" t="s">
        <v>43</v>
      </c>
      <c r="H43" t="s">
        <v>75</v>
      </c>
      <c r="I43" t="s">
        <v>76</v>
      </c>
      <c r="J43" t="s">
        <v>49</v>
      </c>
      <c r="K43" s="2" t="s">
        <v>40</v>
      </c>
      <c r="L43" s="2">
        <v>1500</v>
      </c>
      <c r="M43" s="2">
        <v>75</v>
      </c>
      <c r="N43" s="2">
        <v>0</v>
      </c>
      <c r="O43" s="2">
        <v>0</v>
      </c>
      <c r="P43" s="2">
        <v>0</v>
      </c>
      <c r="Q43" s="2">
        <v>1575</v>
      </c>
      <c r="R43" t="s">
        <v>40</v>
      </c>
      <c r="S43" t="s">
        <v>40</v>
      </c>
      <c r="T43" t="s">
        <v>40</v>
      </c>
    </row>
    <row r="44" spans="1:20" x14ac:dyDescent="0.25">
      <c r="A44" t="s">
        <v>167</v>
      </c>
      <c r="B44" t="s">
        <v>40</v>
      </c>
      <c r="C44" s="1" t="s">
        <v>40</v>
      </c>
      <c r="D44" t="s">
        <v>168</v>
      </c>
      <c r="E44" t="s">
        <v>41</v>
      </c>
      <c r="F44" s="1" t="s">
        <v>164</v>
      </c>
      <c r="G44" t="s">
        <v>43</v>
      </c>
      <c r="H44" t="s">
        <v>75</v>
      </c>
      <c r="I44" t="s">
        <v>76</v>
      </c>
      <c r="J44" t="s">
        <v>49</v>
      </c>
      <c r="K44" s="2" t="s">
        <v>40</v>
      </c>
      <c r="L44" s="2">
        <v>2500</v>
      </c>
      <c r="M44" s="2">
        <v>125</v>
      </c>
      <c r="N44" s="2">
        <v>0</v>
      </c>
      <c r="O44" s="2">
        <v>0</v>
      </c>
      <c r="P44" s="2">
        <v>0</v>
      </c>
      <c r="Q44" s="2">
        <v>2625</v>
      </c>
      <c r="R44" t="s">
        <v>40</v>
      </c>
      <c r="S44" t="s">
        <v>40</v>
      </c>
      <c r="T44" t="s">
        <v>40</v>
      </c>
    </row>
    <row r="45" spans="1:20" x14ac:dyDescent="0.25">
      <c r="A45" t="s">
        <v>169</v>
      </c>
      <c r="B45" t="s">
        <v>40</v>
      </c>
      <c r="C45" s="1" t="s">
        <v>40</v>
      </c>
      <c r="D45" t="s">
        <v>170</v>
      </c>
      <c r="E45" t="s">
        <v>41</v>
      </c>
      <c r="F45" s="1" t="s">
        <v>171</v>
      </c>
      <c r="G45" t="s">
        <v>43</v>
      </c>
      <c r="H45" t="s">
        <v>75</v>
      </c>
      <c r="I45" t="s">
        <v>76</v>
      </c>
      <c r="J45" t="s">
        <v>49</v>
      </c>
      <c r="K45" s="2" t="s">
        <v>40</v>
      </c>
      <c r="L45" s="2">
        <v>2500</v>
      </c>
      <c r="M45" s="2">
        <v>125</v>
      </c>
      <c r="N45" s="2">
        <v>0</v>
      </c>
      <c r="O45" s="2">
        <v>0</v>
      </c>
      <c r="P45" s="2">
        <v>0</v>
      </c>
      <c r="Q45" s="2">
        <v>2625</v>
      </c>
      <c r="R45" t="s">
        <v>40</v>
      </c>
      <c r="S45" t="s">
        <v>40</v>
      </c>
      <c r="T45" t="s">
        <v>40</v>
      </c>
    </row>
    <row r="46" spans="1:20" x14ac:dyDescent="0.25">
      <c r="A46" t="s">
        <v>172</v>
      </c>
      <c r="B46" t="s">
        <v>40</v>
      </c>
      <c r="C46" s="1" t="s">
        <v>40</v>
      </c>
      <c r="D46" t="s">
        <v>173</v>
      </c>
      <c r="E46" t="s">
        <v>41</v>
      </c>
      <c r="F46" s="1" t="s">
        <v>171</v>
      </c>
      <c r="G46" t="s">
        <v>43</v>
      </c>
      <c r="H46" t="s">
        <v>75</v>
      </c>
      <c r="I46" t="s">
        <v>76</v>
      </c>
      <c r="J46" t="s">
        <v>49</v>
      </c>
      <c r="K46" s="2" t="s">
        <v>40</v>
      </c>
      <c r="L46" s="2">
        <v>3800</v>
      </c>
      <c r="M46" s="2">
        <v>190</v>
      </c>
      <c r="N46" s="2">
        <v>0</v>
      </c>
      <c r="O46" s="2">
        <v>0</v>
      </c>
      <c r="P46" s="2">
        <v>0</v>
      </c>
      <c r="Q46" s="2">
        <v>3990</v>
      </c>
      <c r="R46" t="s">
        <v>40</v>
      </c>
      <c r="S46" t="s">
        <v>40</v>
      </c>
      <c r="T46" t="s">
        <v>40</v>
      </c>
    </row>
    <row r="47" spans="1:20" x14ac:dyDescent="0.25">
      <c r="A47" t="s">
        <v>174</v>
      </c>
      <c r="B47" t="s">
        <v>40</v>
      </c>
      <c r="C47" s="1" t="s">
        <v>40</v>
      </c>
      <c r="D47" t="s">
        <v>175</v>
      </c>
      <c r="E47" t="s">
        <v>41</v>
      </c>
      <c r="F47" s="1" t="s">
        <v>171</v>
      </c>
      <c r="G47" t="s">
        <v>43</v>
      </c>
      <c r="H47" t="s">
        <v>75</v>
      </c>
      <c r="I47" t="s">
        <v>76</v>
      </c>
      <c r="J47" t="s">
        <v>49</v>
      </c>
      <c r="K47" s="2" t="s">
        <v>40</v>
      </c>
      <c r="L47" s="2">
        <v>2500</v>
      </c>
      <c r="M47" s="2">
        <v>125</v>
      </c>
      <c r="N47" s="2">
        <v>0</v>
      </c>
      <c r="O47" s="2">
        <v>0</v>
      </c>
      <c r="P47" s="2">
        <v>0</v>
      </c>
      <c r="Q47" s="2">
        <v>2625</v>
      </c>
      <c r="R47" t="s">
        <v>40</v>
      </c>
      <c r="S47" t="s">
        <v>40</v>
      </c>
      <c r="T47" t="s">
        <v>40</v>
      </c>
    </row>
    <row r="48" spans="1:20" x14ac:dyDescent="0.25">
      <c r="A48" t="s">
        <v>176</v>
      </c>
      <c r="B48" t="s">
        <v>40</v>
      </c>
      <c r="C48" s="1" t="s">
        <v>40</v>
      </c>
      <c r="D48" t="s">
        <v>177</v>
      </c>
      <c r="E48" t="s">
        <v>41</v>
      </c>
      <c r="F48" s="1" t="s">
        <v>178</v>
      </c>
      <c r="G48" t="s">
        <v>43</v>
      </c>
      <c r="H48" t="s">
        <v>75</v>
      </c>
      <c r="I48" t="s">
        <v>76</v>
      </c>
      <c r="J48" t="s">
        <v>49</v>
      </c>
      <c r="K48" s="2" t="s">
        <v>40</v>
      </c>
      <c r="L48" s="2">
        <v>2500</v>
      </c>
      <c r="M48" s="2">
        <v>125</v>
      </c>
      <c r="N48" s="2">
        <v>0</v>
      </c>
      <c r="O48" s="2">
        <v>0</v>
      </c>
      <c r="P48" s="2">
        <v>0</v>
      </c>
      <c r="Q48" s="2">
        <v>2625</v>
      </c>
      <c r="R48" t="s">
        <v>40</v>
      </c>
      <c r="S48" t="s">
        <v>40</v>
      </c>
      <c r="T48" t="s">
        <v>40</v>
      </c>
    </row>
    <row r="49" spans="1:20" x14ac:dyDescent="0.25">
      <c r="A49" t="s">
        <v>179</v>
      </c>
      <c r="B49" t="s">
        <v>40</v>
      </c>
      <c r="C49" s="1" t="s">
        <v>40</v>
      </c>
      <c r="D49" t="s">
        <v>180</v>
      </c>
      <c r="E49" t="s">
        <v>41</v>
      </c>
      <c r="F49" s="1" t="s">
        <v>181</v>
      </c>
      <c r="G49" t="s">
        <v>43</v>
      </c>
      <c r="H49" t="s">
        <v>75</v>
      </c>
      <c r="I49" t="s">
        <v>76</v>
      </c>
      <c r="J49" t="s">
        <v>49</v>
      </c>
      <c r="K49" s="2" t="s">
        <v>40</v>
      </c>
      <c r="L49" s="2">
        <v>2800</v>
      </c>
      <c r="M49" s="2">
        <v>140</v>
      </c>
      <c r="N49" s="2">
        <v>0</v>
      </c>
      <c r="O49" s="2">
        <v>0</v>
      </c>
      <c r="P49" s="2">
        <v>0</v>
      </c>
      <c r="Q49" s="2">
        <v>2940</v>
      </c>
      <c r="R49" t="s">
        <v>40</v>
      </c>
      <c r="S49" t="s">
        <v>40</v>
      </c>
      <c r="T49" t="s">
        <v>40</v>
      </c>
    </row>
    <row r="50" spans="1:20" x14ac:dyDescent="0.25">
      <c r="A50" t="s">
        <v>81</v>
      </c>
      <c r="B50" t="s">
        <v>40</v>
      </c>
      <c r="C50" s="1" t="s">
        <v>40</v>
      </c>
      <c r="D50" t="s">
        <v>148</v>
      </c>
      <c r="E50" t="s">
        <v>41</v>
      </c>
      <c r="F50" s="1" t="s">
        <v>149</v>
      </c>
      <c r="G50" t="s">
        <v>43</v>
      </c>
      <c r="H50" t="s">
        <v>75</v>
      </c>
      <c r="I50" t="s">
        <v>76</v>
      </c>
      <c r="J50" t="s">
        <v>49</v>
      </c>
      <c r="K50" s="2" t="s">
        <v>40</v>
      </c>
      <c r="L50" s="2">
        <v>3500</v>
      </c>
      <c r="M50" s="2">
        <v>175</v>
      </c>
      <c r="N50" s="2">
        <v>0</v>
      </c>
      <c r="O50" s="2">
        <v>0</v>
      </c>
      <c r="P50" s="2">
        <v>0</v>
      </c>
      <c r="Q50" s="2">
        <v>3675</v>
      </c>
      <c r="R50" t="s">
        <v>40</v>
      </c>
      <c r="S50" t="s">
        <v>40</v>
      </c>
      <c r="T50" t="s">
        <v>40</v>
      </c>
    </row>
    <row r="51" spans="1:20" x14ac:dyDescent="0.25">
      <c r="A51" t="s">
        <v>83</v>
      </c>
      <c r="B51" t="s">
        <v>40</v>
      </c>
      <c r="C51" s="1" t="s">
        <v>40</v>
      </c>
      <c r="D51" t="s">
        <v>137</v>
      </c>
      <c r="E51" t="s">
        <v>41</v>
      </c>
      <c r="F51" s="1" t="s">
        <v>138</v>
      </c>
      <c r="G51" t="s">
        <v>43</v>
      </c>
      <c r="H51" t="s">
        <v>75</v>
      </c>
      <c r="I51" t="s">
        <v>76</v>
      </c>
      <c r="J51" t="s">
        <v>49</v>
      </c>
      <c r="K51" s="2" t="s">
        <v>40</v>
      </c>
      <c r="L51" s="2">
        <v>5000</v>
      </c>
      <c r="M51" s="2">
        <v>250</v>
      </c>
      <c r="N51" s="2">
        <v>0</v>
      </c>
      <c r="O51" s="2">
        <v>0</v>
      </c>
      <c r="P51" s="2">
        <v>0</v>
      </c>
      <c r="Q51" s="2">
        <v>5250</v>
      </c>
      <c r="R51" t="s">
        <v>40</v>
      </c>
      <c r="S51" t="s">
        <v>40</v>
      </c>
      <c r="T51" t="s">
        <v>40</v>
      </c>
    </row>
    <row r="52" spans="1:20" x14ac:dyDescent="0.25">
      <c r="A52" t="s">
        <v>73</v>
      </c>
      <c r="B52" t="s">
        <v>40</v>
      </c>
      <c r="C52" s="1" t="s">
        <v>40</v>
      </c>
      <c r="D52" t="s">
        <v>141</v>
      </c>
      <c r="E52" t="s">
        <v>41</v>
      </c>
      <c r="F52" s="1" t="s">
        <v>138</v>
      </c>
      <c r="G52" t="s">
        <v>43</v>
      </c>
      <c r="H52" t="s">
        <v>75</v>
      </c>
      <c r="I52" t="s">
        <v>76</v>
      </c>
      <c r="J52" t="s">
        <v>49</v>
      </c>
      <c r="K52" s="2" t="s">
        <v>40</v>
      </c>
      <c r="L52" s="2">
        <v>2500</v>
      </c>
      <c r="M52" s="2">
        <v>125</v>
      </c>
      <c r="N52" s="2">
        <v>0</v>
      </c>
      <c r="O52" s="2">
        <v>0</v>
      </c>
      <c r="P52" s="2">
        <v>0</v>
      </c>
      <c r="Q52" s="2">
        <v>2625</v>
      </c>
      <c r="R52" t="s">
        <v>40</v>
      </c>
      <c r="S52" t="s">
        <v>40</v>
      </c>
      <c r="T52" t="s">
        <v>40</v>
      </c>
    </row>
    <row r="53" spans="1:20" x14ac:dyDescent="0.25">
      <c r="A53" t="s">
        <v>79</v>
      </c>
      <c r="B53" t="s">
        <v>40</v>
      </c>
      <c r="C53" s="1" t="s">
        <v>40</v>
      </c>
      <c r="D53" t="s">
        <v>142</v>
      </c>
      <c r="E53" t="s">
        <v>41</v>
      </c>
      <c r="F53" s="1" t="s">
        <v>143</v>
      </c>
      <c r="G53" t="s">
        <v>43</v>
      </c>
      <c r="H53" t="s">
        <v>75</v>
      </c>
      <c r="I53" t="s">
        <v>76</v>
      </c>
      <c r="J53" t="s">
        <v>49</v>
      </c>
      <c r="K53" s="2" t="s">
        <v>40</v>
      </c>
      <c r="L53" s="2">
        <v>3800</v>
      </c>
      <c r="M53" s="2">
        <v>190</v>
      </c>
      <c r="N53" s="2">
        <v>0</v>
      </c>
      <c r="O53" s="2">
        <v>0</v>
      </c>
      <c r="P53" s="2">
        <v>0</v>
      </c>
      <c r="Q53" s="2">
        <v>3990</v>
      </c>
      <c r="R53" t="s">
        <v>40</v>
      </c>
      <c r="S53" t="s">
        <v>40</v>
      </c>
      <c r="T53" t="s">
        <v>40</v>
      </c>
    </row>
    <row r="54" spans="1:20" x14ac:dyDescent="0.25">
      <c r="A54" t="s">
        <v>85</v>
      </c>
      <c r="B54" t="s">
        <v>40</v>
      </c>
      <c r="C54" s="1" t="s">
        <v>40</v>
      </c>
      <c r="D54" t="s">
        <v>144</v>
      </c>
      <c r="E54" t="s">
        <v>41</v>
      </c>
      <c r="F54" s="1" t="s">
        <v>143</v>
      </c>
      <c r="G54" t="s">
        <v>43</v>
      </c>
      <c r="H54" t="s">
        <v>75</v>
      </c>
      <c r="I54" t="s">
        <v>76</v>
      </c>
      <c r="J54" t="s">
        <v>49</v>
      </c>
      <c r="K54" s="2" t="s">
        <v>40</v>
      </c>
      <c r="L54" s="2">
        <v>2500</v>
      </c>
      <c r="M54" s="2">
        <v>125</v>
      </c>
      <c r="N54" s="2">
        <v>0</v>
      </c>
      <c r="O54" s="2">
        <v>0</v>
      </c>
      <c r="P54" s="2">
        <v>0</v>
      </c>
      <c r="Q54" s="2">
        <v>2625</v>
      </c>
      <c r="R54" t="s">
        <v>40</v>
      </c>
      <c r="S54" t="s">
        <v>40</v>
      </c>
      <c r="T54" t="s">
        <v>40</v>
      </c>
    </row>
    <row r="55" spans="1:20" x14ac:dyDescent="0.25">
      <c r="A55" t="s">
        <v>152</v>
      </c>
      <c r="B55" t="s">
        <v>40</v>
      </c>
      <c r="C55" s="1" t="s">
        <v>40</v>
      </c>
      <c r="D55" t="s">
        <v>153</v>
      </c>
      <c r="E55" t="s">
        <v>41</v>
      </c>
      <c r="F55" s="1" t="s">
        <v>154</v>
      </c>
      <c r="G55" t="s">
        <v>43</v>
      </c>
      <c r="H55" t="s">
        <v>75</v>
      </c>
      <c r="I55" t="s">
        <v>76</v>
      </c>
      <c r="J55" t="s">
        <v>49</v>
      </c>
      <c r="K55" s="2" t="s">
        <v>40</v>
      </c>
      <c r="L55" s="2">
        <v>3800</v>
      </c>
      <c r="M55" s="2">
        <v>190</v>
      </c>
      <c r="N55" s="2">
        <v>0</v>
      </c>
      <c r="O55" s="2">
        <v>0</v>
      </c>
      <c r="P55" s="2">
        <v>0</v>
      </c>
      <c r="Q55" s="2">
        <v>3990</v>
      </c>
      <c r="R55" t="s">
        <v>40</v>
      </c>
      <c r="S55" t="s">
        <v>40</v>
      </c>
      <c r="T55" t="s">
        <v>40</v>
      </c>
    </row>
    <row r="56" spans="1:20" x14ac:dyDescent="0.25">
      <c r="I56" s="20" t="s">
        <v>182</v>
      </c>
      <c r="J56" s="20" t="s">
        <v>182</v>
      </c>
      <c r="K56" s="21" t="s">
        <v>182</v>
      </c>
      <c r="L56" s="9">
        <f t="shared" ref="L56:Q56" si="1">SUM(L10:L55)</f>
        <v>222917.45</v>
      </c>
      <c r="M56" s="9">
        <f t="shared" si="1"/>
        <v>6912.5</v>
      </c>
      <c r="N56" s="9">
        <f t="shared" si="1"/>
        <v>2266.6800000000003</v>
      </c>
      <c r="O56" s="9">
        <f t="shared" si="1"/>
        <v>2266.6800000000003</v>
      </c>
      <c r="P56" s="9">
        <f t="shared" si="1"/>
        <v>0</v>
      </c>
      <c r="Q56" s="9">
        <f t="shared" si="1"/>
        <v>240364</v>
      </c>
    </row>
    <row r="57" spans="1:20" x14ac:dyDescent="0.25">
      <c r="A57" s="22" t="s">
        <v>278</v>
      </c>
      <c r="B57" s="22" t="s">
        <v>278</v>
      </c>
      <c r="C57" s="23" t="s">
        <v>278</v>
      </c>
      <c r="D57" s="22" t="s">
        <v>278</v>
      </c>
      <c r="E57" s="22" t="s">
        <v>278</v>
      </c>
      <c r="F57" s="23" t="s">
        <v>278</v>
      </c>
      <c r="G57" s="22" t="s">
        <v>278</v>
      </c>
      <c r="H57" s="22" t="s">
        <v>278</v>
      </c>
      <c r="I57" s="22" t="s">
        <v>278</v>
      </c>
      <c r="J57" s="22" t="s">
        <v>278</v>
      </c>
      <c r="K57" s="24" t="s">
        <v>278</v>
      </c>
      <c r="L57" s="24" t="s">
        <v>278</v>
      </c>
      <c r="M57" s="24" t="s">
        <v>278</v>
      </c>
      <c r="N57" s="24" t="s">
        <v>278</v>
      </c>
      <c r="O57" s="24" t="s">
        <v>278</v>
      </c>
      <c r="P57" s="24" t="s">
        <v>278</v>
      </c>
      <c r="Q57" s="24" t="s">
        <v>278</v>
      </c>
      <c r="R57" s="22" t="s">
        <v>278</v>
      </c>
    </row>
    <row r="58" spans="1:20" s="6" customFormat="1" x14ac:dyDescent="0.25">
      <c r="A58" s="6" t="s">
        <v>40</v>
      </c>
      <c r="B58" s="6" t="s">
        <v>40</v>
      </c>
      <c r="C58" s="7" t="s">
        <v>40</v>
      </c>
      <c r="D58" s="6" t="s">
        <v>183</v>
      </c>
      <c r="E58" s="6" t="s">
        <v>51</v>
      </c>
      <c r="F58" s="7" t="s">
        <v>184</v>
      </c>
      <c r="G58" s="6" t="s">
        <v>43</v>
      </c>
      <c r="H58" s="6" t="s">
        <v>185</v>
      </c>
      <c r="I58" s="6" t="s">
        <v>186</v>
      </c>
      <c r="J58" s="6" t="s">
        <v>49</v>
      </c>
      <c r="K58" s="8" t="s">
        <v>40</v>
      </c>
      <c r="L58" s="8">
        <v>37142.9</v>
      </c>
      <c r="M58" s="8">
        <v>0</v>
      </c>
      <c r="N58" s="8">
        <v>928.57</v>
      </c>
      <c r="O58" s="8">
        <v>928.57</v>
      </c>
      <c r="P58" s="8">
        <v>0</v>
      </c>
      <c r="Q58" s="8">
        <v>39000</v>
      </c>
      <c r="R58" s="6" t="s">
        <v>53</v>
      </c>
      <c r="S58" s="6" t="s">
        <v>129</v>
      </c>
      <c r="T58" s="6" t="s">
        <v>56</v>
      </c>
    </row>
    <row r="59" spans="1:20" s="6" customFormat="1" x14ac:dyDescent="0.25">
      <c r="A59" s="6" t="s">
        <v>40</v>
      </c>
      <c r="B59" s="6" t="s">
        <v>40</v>
      </c>
      <c r="C59" s="7" t="s">
        <v>40</v>
      </c>
      <c r="D59" s="6" t="s">
        <v>189</v>
      </c>
      <c r="E59" s="6" t="s">
        <v>51</v>
      </c>
      <c r="F59" s="7" t="s">
        <v>74</v>
      </c>
      <c r="G59" s="6" t="s">
        <v>43</v>
      </c>
      <c r="H59" s="6" t="s">
        <v>190</v>
      </c>
      <c r="I59" s="6" t="s">
        <v>76</v>
      </c>
      <c r="J59" s="6" t="s">
        <v>49</v>
      </c>
      <c r="K59" s="8" t="s">
        <v>40</v>
      </c>
      <c r="L59" s="8">
        <v>2800</v>
      </c>
      <c r="M59" s="8">
        <v>140</v>
      </c>
      <c r="N59" s="8">
        <v>0</v>
      </c>
      <c r="O59" s="8">
        <v>0</v>
      </c>
      <c r="P59" s="8">
        <v>0</v>
      </c>
      <c r="Q59" s="8">
        <v>2940</v>
      </c>
      <c r="R59" s="6" t="s">
        <v>53</v>
      </c>
      <c r="S59" s="6" t="s">
        <v>191</v>
      </c>
      <c r="T59" s="6" t="s">
        <v>56</v>
      </c>
    </row>
    <row r="60" spans="1:20" s="6" customFormat="1" x14ac:dyDescent="0.25">
      <c r="A60" s="6" t="s">
        <v>40</v>
      </c>
      <c r="B60" s="6" t="s">
        <v>40</v>
      </c>
      <c r="C60" s="7" t="s">
        <v>40</v>
      </c>
      <c r="D60" s="6" t="s">
        <v>192</v>
      </c>
      <c r="E60" s="6" t="s">
        <v>51</v>
      </c>
      <c r="F60" s="7" t="s">
        <v>74</v>
      </c>
      <c r="G60" s="6" t="s">
        <v>43</v>
      </c>
      <c r="H60" s="6" t="s">
        <v>190</v>
      </c>
      <c r="I60" s="6" t="s">
        <v>76</v>
      </c>
      <c r="J60" s="6" t="s">
        <v>49</v>
      </c>
      <c r="K60" s="8" t="s">
        <v>40</v>
      </c>
      <c r="L60" s="8">
        <v>2500</v>
      </c>
      <c r="M60" s="8">
        <v>125</v>
      </c>
      <c r="N60" s="8">
        <v>0</v>
      </c>
      <c r="O60" s="8">
        <v>0</v>
      </c>
      <c r="P60" s="8">
        <v>0</v>
      </c>
      <c r="Q60" s="8">
        <v>2625</v>
      </c>
      <c r="R60" s="6" t="s">
        <v>53</v>
      </c>
      <c r="S60" s="6" t="s">
        <v>191</v>
      </c>
      <c r="T60" s="6" t="s">
        <v>56</v>
      </c>
    </row>
    <row r="61" spans="1:20" s="6" customFormat="1" x14ac:dyDescent="0.25">
      <c r="A61" s="6" t="s">
        <v>40</v>
      </c>
      <c r="B61" s="6" t="s">
        <v>40</v>
      </c>
      <c r="C61" s="7" t="s">
        <v>40</v>
      </c>
      <c r="D61" s="6" t="s">
        <v>193</v>
      </c>
      <c r="E61" s="6" t="s">
        <v>51</v>
      </c>
      <c r="F61" s="7" t="s">
        <v>74</v>
      </c>
      <c r="G61" s="6" t="s">
        <v>43</v>
      </c>
      <c r="H61" s="6" t="s">
        <v>190</v>
      </c>
      <c r="I61" s="6" t="s">
        <v>76</v>
      </c>
      <c r="J61" s="6" t="s">
        <v>49</v>
      </c>
      <c r="K61" s="8" t="s">
        <v>40</v>
      </c>
      <c r="L61" s="8">
        <v>1800</v>
      </c>
      <c r="M61" s="8">
        <v>90</v>
      </c>
      <c r="N61" s="8">
        <v>0</v>
      </c>
      <c r="O61" s="8">
        <v>0</v>
      </c>
      <c r="P61" s="8">
        <v>0</v>
      </c>
      <c r="Q61" s="8">
        <v>1890</v>
      </c>
      <c r="R61" s="6" t="s">
        <v>53</v>
      </c>
      <c r="S61" s="6" t="s">
        <v>191</v>
      </c>
      <c r="T61" s="6" t="s">
        <v>56</v>
      </c>
    </row>
    <row r="62" spans="1:20" s="6" customFormat="1" x14ac:dyDescent="0.25">
      <c r="A62" s="6" t="s">
        <v>40</v>
      </c>
      <c r="B62" s="6" t="s">
        <v>40</v>
      </c>
      <c r="C62" s="7" t="s">
        <v>40</v>
      </c>
      <c r="D62" s="6" t="s">
        <v>194</v>
      </c>
      <c r="E62" s="6" t="s">
        <v>51</v>
      </c>
      <c r="F62" s="7" t="s">
        <v>74</v>
      </c>
      <c r="G62" s="6" t="s">
        <v>43</v>
      </c>
      <c r="H62" s="6" t="s">
        <v>190</v>
      </c>
      <c r="I62" s="6" t="s">
        <v>76</v>
      </c>
      <c r="J62" s="6" t="s">
        <v>49</v>
      </c>
      <c r="K62" s="8" t="s">
        <v>40</v>
      </c>
      <c r="L62" s="8">
        <v>3500</v>
      </c>
      <c r="M62" s="8">
        <v>175</v>
      </c>
      <c r="N62" s="8">
        <v>0</v>
      </c>
      <c r="O62" s="8">
        <v>0</v>
      </c>
      <c r="P62" s="8">
        <v>0</v>
      </c>
      <c r="Q62" s="8">
        <v>3675</v>
      </c>
      <c r="R62" s="6" t="s">
        <v>53</v>
      </c>
      <c r="S62" s="6" t="s">
        <v>191</v>
      </c>
      <c r="T62" s="6" t="s">
        <v>56</v>
      </c>
    </row>
    <row r="63" spans="1:20" s="6" customFormat="1" x14ac:dyDescent="0.25">
      <c r="A63" s="6" t="s">
        <v>40</v>
      </c>
      <c r="B63" s="6" t="s">
        <v>40</v>
      </c>
      <c r="C63" s="7" t="s">
        <v>40</v>
      </c>
      <c r="D63" s="6" t="s">
        <v>195</v>
      </c>
      <c r="E63" s="6" t="s">
        <v>51</v>
      </c>
      <c r="F63" s="7" t="s">
        <v>74</v>
      </c>
      <c r="G63" s="6" t="s">
        <v>43</v>
      </c>
      <c r="H63" s="6" t="s">
        <v>190</v>
      </c>
      <c r="I63" s="6" t="s">
        <v>76</v>
      </c>
      <c r="J63" s="6" t="s">
        <v>49</v>
      </c>
      <c r="K63" s="8" t="s">
        <v>40</v>
      </c>
      <c r="L63" s="8">
        <v>2500</v>
      </c>
      <c r="M63" s="8">
        <v>125</v>
      </c>
      <c r="N63" s="8">
        <v>0</v>
      </c>
      <c r="O63" s="8">
        <v>0</v>
      </c>
      <c r="P63" s="8">
        <v>0</v>
      </c>
      <c r="Q63" s="8">
        <v>2625</v>
      </c>
      <c r="R63" s="6" t="s">
        <v>53</v>
      </c>
      <c r="S63" s="6" t="s">
        <v>191</v>
      </c>
      <c r="T63" s="6" t="s">
        <v>56</v>
      </c>
    </row>
    <row r="64" spans="1:20" s="6" customFormat="1" x14ac:dyDescent="0.25">
      <c r="A64" s="6" t="s">
        <v>40</v>
      </c>
      <c r="B64" s="6" t="s">
        <v>40</v>
      </c>
      <c r="C64" s="7" t="s">
        <v>40</v>
      </c>
      <c r="D64" s="6" t="s">
        <v>196</v>
      </c>
      <c r="E64" s="6" t="s">
        <v>51</v>
      </c>
      <c r="F64" s="7" t="s">
        <v>74</v>
      </c>
      <c r="G64" s="6" t="s">
        <v>43</v>
      </c>
      <c r="H64" s="6" t="s">
        <v>190</v>
      </c>
      <c r="I64" s="6" t="s">
        <v>76</v>
      </c>
      <c r="J64" s="6" t="s">
        <v>49</v>
      </c>
      <c r="K64" s="8" t="s">
        <v>40</v>
      </c>
      <c r="L64" s="8">
        <v>1500</v>
      </c>
      <c r="M64" s="8">
        <v>75</v>
      </c>
      <c r="N64" s="8">
        <v>0</v>
      </c>
      <c r="O64" s="8">
        <v>0</v>
      </c>
      <c r="P64" s="8">
        <v>0</v>
      </c>
      <c r="Q64" s="8">
        <v>1575</v>
      </c>
      <c r="R64" s="6" t="s">
        <v>53</v>
      </c>
      <c r="S64" s="6" t="s">
        <v>191</v>
      </c>
      <c r="T64" s="6" t="s">
        <v>56</v>
      </c>
    </row>
    <row r="65" spans="1:20" s="6" customFormat="1" x14ac:dyDescent="0.25">
      <c r="A65" s="6" t="s">
        <v>40</v>
      </c>
      <c r="B65" s="6" t="s">
        <v>40</v>
      </c>
      <c r="C65" s="7" t="s">
        <v>40</v>
      </c>
      <c r="D65" s="6" t="s">
        <v>197</v>
      </c>
      <c r="E65" s="6" t="s">
        <v>51</v>
      </c>
      <c r="F65" s="7" t="s">
        <v>88</v>
      </c>
      <c r="G65" s="6" t="s">
        <v>43</v>
      </c>
      <c r="H65" s="6" t="s">
        <v>190</v>
      </c>
      <c r="I65" s="6" t="s">
        <v>76</v>
      </c>
      <c r="J65" s="6" t="s">
        <v>49</v>
      </c>
      <c r="K65" s="8" t="s">
        <v>40</v>
      </c>
      <c r="L65" s="8">
        <v>3000</v>
      </c>
      <c r="M65" s="8">
        <v>150</v>
      </c>
      <c r="N65" s="8">
        <v>0</v>
      </c>
      <c r="O65" s="8">
        <v>0</v>
      </c>
      <c r="P65" s="8">
        <v>0</v>
      </c>
      <c r="Q65" s="8">
        <v>3150</v>
      </c>
      <c r="R65" s="6" t="s">
        <v>53</v>
      </c>
      <c r="S65" s="6" t="s">
        <v>191</v>
      </c>
      <c r="T65" s="6" t="s">
        <v>56</v>
      </c>
    </row>
    <row r="66" spans="1:20" s="6" customFormat="1" x14ac:dyDescent="0.25">
      <c r="A66" s="6" t="s">
        <v>40</v>
      </c>
      <c r="B66" s="6" t="s">
        <v>40</v>
      </c>
      <c r="C66" s="7" t="s">
        <v>40</v>
      </c>
      <c r="D66" s="6" t="s">
        <v>198</v>
      </c>
      <c r="E66" s="6" t="s">
        <v>51</v>
      </c>
      <c r="F66" s="7" t="s">
        <v>88</v>
      </c>
      <c r="G66" s="6" t="s">
        <v>43</v>
      </c>
      <c r="H66" s="6" t="s">
        <v>190</v>
      </c>
      <c r="I66" s="6" t="s">
        <v>76</v>
      </c>
      <c r="J66" s="6" t="s">
        <v>49</v>
      </c>
      <c r="K66" s="8" t="s">
        <v>40</v>
      </c>
      <c r="L66" s="8">
        <v>3500</v>
      </c>
      <c r="M66" s="8">
        <v>175</v>
      </c>
      <c r="N66" s="8">
        <v>0</v>
      </c>
      <c r="O66" s="8">
        <v>0</v>
      </c>
      <c r="P66" s="8">
        <v>0</v>
      </c>
      <c r="Q66" s="8">
        <v>3675</v>
      </c>
      <c r="R66" s="6" t="s">
        <v>53</v>
      </c>
      <c r="S66" s="6" t="s">
        <v>191</v>
      </c>
      <c r="T66" s="6" t="s">
        <v>56</v>
      </c>
    </row>
    <row r="67" spans="1:20" s="6" customFormat="1" x14ac:dyDescent="0.25">
      <c r="A67" s="6" t="s">
        <v>40</v>
      </c>
      <c r="B67" s="6" t="s">
        <v>40</v>
      </c>
      <c r="C67" s="7" t="s">
        <v>40</v>
      </c>
      <c r="D67" s="6" t="s">
        <v>199</v>
      </c>
      <c r="E67" s="6" t="s">
        <v>51</v>
      </c>
      <c r="F67" s="7" t="s">
        <v>88</v>
      </c>
      <c r="G67" s="6" t="s">
        <v>43</v>
      </c>
      <c r="H67" s="6" t="s">
        <v>190</v>
      </c>
      <c r="I67" s="6" t="s">
        <v>76</v>
      </c>
      <c r="J67" s="6" t="s">
        <v>49</v>
      </c>
      <c r="K67" s="8" t="s">
        <v>40</v>
      </c>
      <c r="L67" s="8">
        <v>2800</v>
      </c>
      <c r="M67" s="8">
        <v>140</v>
      </c>
      <c r="N67" s="8">
        <v>0</v>
      </c>
      <c r="O67" s="8">
        <v>0</v>
      </c>
      <c r="P67" s="8">
        <v>0</v>
      </c>
      <c r="Q67" s="8">
        <v>2940</v>
      </c>
      <c r="R67" s="6" t="s">
        <v>53</v>
      </c>
      <c r="S67" s="6" t="s">
        <v>191</v>
      </c>
      <c r="T67" s="6" t="s">
        <v>56</v>
      </c>
    </row>
    <row r="68" spans="1:20" s="6" customFormat="1" x14ac:dyDescent="0.25">
      <c r="A68" s="6" t="s">
        <v>40</v>
      </c>
      <c r="B68" s="6" t="s">
        <v>40</v>
      </c>
      <c r="C68" s="7" t="s">
        <v>40</v>
      </c>
      <c r="D68" s="6" t="s">
        <v>200</v>
      </c>
      <c r="E68" s="6" t="s">
        <v>51</v>
      </c>
      <c r="F68" s="7" t="s">
        <v>98</v>
      </c>
      <c r="G68" s="6" t="s">
        <v>43</v>
      </c>
      <c r="H68" s="6" t="s">
        <v>190</v>
      </c>
      <c r="I68" s="6" t="s">
        <v>76</v>
      </c>
      <c r="J68" s="6" t="s">
        <v>49</v>
      </c>
      <c r="K68" s="8" t="s">
        <v>40</v>
      </c>
      <c r="L68" s="8">
        <v>2800</v>
      </c>
      <c r="M68" s="8">
        <v>140</v>
      </c>
      <c r="N68" s="8">
        <v>0</v>
      </c>
      <c r="O68" s="8">
        <v>0</v>
      </c>
      <c r="P68" s="8">
        <v>0</v>
      </c>
      <c r="Q68" s="8">
        <v>2940</v>
      </c>
      <c r="R68" s="6" t="s">
        <v>53</v>
      </c>
      <c r="S68" s="6" t="s">
        <v>191</v>
      </c>
      <c r="T68" s="6" t="s">
        <v>56</v>
      </c>
    </row>
    <row r="69" spans="1:20" s="6" customFormat="1" x14ac:dyDescent="0.25">
      <c r="A69" s="6" t="s">
        <v>40</v>
      </c>
      <c r="B69" s="6" t="s">
        <v>40</v>
      </c>
      <c r="C69" s="7" t="s">
        <v>40</v>
      </c>
      <c r="D69" s="6" t="s">
        <v>201</v>
      </c>
      <c r="E69" s="6" t="s">
        <v>51</v>
      </c>
      <c r="F69" s="7" t="s">
        <v>94</v>
      </c>
      <c r="G69" s="6" t="s">
        <v>43</v>
      </c>
      <c r="H69" s="6" t="s">
        <v>185</v>
      </c>
      <c r="I69" s="6" t="s">
        <v>186</v>
      </c>
      <c r="J69" s="6" t="s">
        <v>49</v>
      </c>
      <c r="K69" s="8" t="s">
        <v>40</v>
      </c>
      <c r="L69" s="8">
        <v>37142.9</v>
      </c>
      <c r="M69" s="8">
        <v>0</v>
      </c>
      <c r="N69" s="8">
        <v>928.57</v>
      </c>
      <c r="O69" s="8">
        <v>928.57</v>
      </c>
      <c r="P69" s="8">
        <v>0</v>
      </c>
      <c r="Q69" s="8">
        <v>39000</v>
      </c>
      <c r="R69" s="6" t="s">
        <v>53</v>
      </c>
      <c r="S69" s="6" t="s">
        <v>202</v>
      </c>
      <c r="T69" s="6" t="s">
        <v>56</v>
      </c>
    </row>
    <row r="70" spans="1:20" s="6" customFormat="1" x14ac:dyDescent="0.25">
      <c r="A70" s="6" t="s">
        <v>40</v>
      </c>
      <c r="B70" s="6" t="s">
        <v>40</v>
      </c>
      <c r="C70" s="7" t="s">
        <v>40</v>
      </c>
      <c r="D70" s="6" t="s">
        <v>203</v>
      </c>
      <c r="E70" s="6" t="s">
        <v>51</v>
      </c>
      <c r="F70" s="7" t="s">
        <v>94</v>
      </c>
      <c r="G70" s="6" t="s">
        <v>43</v>
      </c>
      <c r="H70" s="6" t="s">
        <v>190</v>
      </c>
      <c r="I70" s="6" t="s">
        <v>76</v>
      </c>
      <c r="J70" s="6" t="s">
        <v>49</v>
      </c>
      <c r="K70" s="8" t="s">
        <v>40</v>
      </c>
      <c r="L70" s="8">
        <v>1500</v>
      </c>
      <c r="M70" s="8">
        <v>75</v>
      </c>
      <c r="N70" s="8">
        <v>0</v>
      </c>
      <c r="O70" s="8">
        <v>0</v>
      </c>
      <c r="P70" s="8">
        <v>0</v>
      </c>
      <c r="Q70" s="8">
        <v>1575</v>
      </c>
      <c r="R70" s="6" t="s">
        <v>53</v>
      </c>
      <c r="S70" s="6" t="s">
        <v>191</v>
      </c>
      <c r="T70" s="6" t="s">
        <v>56</v>
      </c>
    </row>
    <row r="71" spans="1:20" s="6" customFormat="1" x14ac:dyDescent="0.25">
      <c r="A71" s="6" t="s">
        <v>40</v>
      </c>
      <c r="B71" s="6" t="s">
        <v>40</v>
      </c>
      <c r="C71" s="7" t="s">
        <v>40</v>
      </c>
      <c r="D71" s="6" t="s">
        <v>204</v>
      </c>
      <c r="E71" s="6" t="s">
        <v>51</v>
      </c>
      <c r="F71" s="7" t="s">
        <v>101</v>
      </c>
      <c r="G71" s="6" t="s">
        <v>43</v>
      </c>
      <c r="H71" s="6" t="s">
        <v>190</v>
      </c>
      <c r="I71" s="6" t="s">
        <v>76</v>
      </c>
      <c r="J71" s="6" t="s">
        <v>49</v>
      </c>
      <c r="K71" s="8" t="s">
        <v>40</v>
      </c>
      <c r="L71" s="8">
        <v>1500</v>
      </c>
      <c r="M71" s="8">
        <v>75</v>
      </c>
      <c r="N71" s="8">
        <v>0</v>
      </c>
      <c r="O71" s="8">
        <v>0</v>
      </c>
      <c r="P71" s="8">
        <v>0</v>
      </c>
      <c r="Q71" s="8">
        <v>1575</v>
      </c>
      <c r="R71" s="6" t="s">
        <v>53</v>
      </c>
      <c r="S71" s="6" t="s">
        <v>191</v>
      </c>
      <c r="T71" s="6" t="s">
        <v>56</v>
      </c>
    </row>
    <row r="72" spans="1:20" s="6" customFormat="1" x14ac:dyDescent="0.25">
      <c r="A72" s="6" t="s">
        <v>40</v>
      </c>
      <c r="B72" s="6" t="s">
        <v>40</v>
      </c>
      <c r="C72" s="7" t="s">
        <v>40</v>
      </c>
      <c r="D72" s="6" t="s">
        <v>205</v>
      </c>
      <c r="E72" s="6" t="s">
        <v>51</v>
      </c>
      <c r="F72" s="7" t="s">
        <v>101</v>
      </c>
      <c r="G72" s="6" t="s">
        <v>43</v>
      </c>
      <c r="H72" s="6" t="s">
        <v>190</v>
      </c>
      <c r="I72" s="6" t="s">
        <v>76</v>
      </c>
      <c r="J72" s="6" t="s">
        <v>49</v>
      </c>
      <c r="K72" s="8" t="s">
        <v>40</v>
      </c>
      <c r="L72" s="8">
        <v>2000</v>
      </c>
      <c r="M72" s="8">
        <v>100</v>
      </c>
      <c r="N72" s="8">
        <v>0</v>
      </c>
      <c r="O72" s="8">
        <v>0</v>
      </c>
      <c r="P72" s="8">
        <v>0</v>
      </c>
      <c r="Q72" s="8">
        <v>2100</v>
      </c>
      <c r="R72" s="6" t="s">
        <v>53</v>
      </c>
      <c r="S72" s="6" t="s">
        <v>191</v>
      </c>
      <c r="T72" s="6" t="s">
        <v>56</v>
      </c>
    </row>
    <row r="73" spans="1:20" s="6" customFormat="1" x14ac:dyDescent="0.25">
      <c r="A73" s="6" t="s">
        <v>40</v>
      </c>
      <c r="B73" s="6" t="s">
        <v>40</v>
      </c>
      <c r="C73" s="7" t="s">
        <v>40</v>
      </c>
      <c r="D73" s="6" t="s">
        <v>206</v>
      </c>
      <c r="E73" s="6" t="s">
        <v>51</v>
      </c>
      <c r="F73" s="7" t="s">
        <v>106</v>
      </c>
      <c r="G73" s="6" t="s">
        <v>43</v>
      </c>
      <c r="H73" s="6" t="s">
        <v>190</v>
      </c>
      <c r="I73" s="6" t="s">
        <v>76</v>
      </c>
      <c r="J73" s="6" t="s">
        <v>49</v>
      </c>
      <c r="K73" s="8" t="s">
        <v>40</v>
      </c>
      <c r="L73" s="8">
        <v>1800</v>
      </c>
      <c r="M73" s="8">
        <v>90</v>
      </c>
      <c r="N73" s="8">
        <v>0</v>
      </c>
      <c r="O73" s="8">
        <v>0</v>
      </c>
      <c r="P73" s="8">
        <v>0</v>
      </c>
      <c r="Q73" s="8">
        <v>1890</v>
      </c>
      <c r="R73" s="6" t="s">
        <v>53</v>
      </c>
      <c r="S73" s="6" t="s">
        <v>191</v>
      </c>
      <c r="T73" s="6" t="s">
        <v>56</v>
      </c>
    </row>
    <row r="74" spans="1:20" s="6" customFormat="1" x14ac:dyDescent="0.25">
      <c r="A74" s="6" t="s">
        <v>40</v>
      </c>
      <c r="B74" s="6" t="s">
        <v>40</v>
      </c>
      <c r="C74" s="7" t="s">
        <v>40</v>
      </c>
      <c r="D74" s="6" t="s">
        <v>207</v>
      </c>
      <c r="E74" s="6" t="s">
        <v>51</v>
      </c>
      <c r="F74" s="7" t="s">
        <v>109</v>
      </c>
      <c r="G74" s="6" t="s">
        <v>43</v>
      </c>
      <c r="H74" s="6" t="s">
        <v>190</v>
      </c>
      <c r="I74" s="6" t="s">
        <v>76</v>
      </c>
      <c r="J74" s="6" t="s">
        <v>49</v>
      </c>
      <c r="K74" s="8" t="s">
        <v>40</v>
      </c>
      <c r="L74" s="8">
        <v>3000</v>
      </c>
      <c r="M74" s="8">
        <v>150</v>
      </c>
      <c r="N74" s="8">
        <v>0</v>
      </c>
      <c r="O74" s="8">
        <v>0</v>
      </c>
      <c r="P74" s="8">
        <v>0</v>
      </c>
      <c r="Q74" s="8">
        <v>3150</v>
      </c>
      <c r="R74" s="6" t="s">
        <v>53</v>
      </c>
      <c r="S74" s="6" t="s">
        <v>191</v>
      </c>
      <c r="T74" s="6" t="s">
        <v>56</v>
      </c>
    </row>
    <row r="75" spans="1:20" s="6" customFormat="1" x14ac:dyDescent="0.25">
      <c r="A75" s="6" t="s">
        <v>40</v>
      </c>
      <c r="B75" s="6" t="s">
        <v>40</v>
      </c>
      <c r="C75" s="7" t="s">
        <v>40</v>
      </c>
      <c r="D75" s="6" t="s">
        <v>208</v>
      </c>
      <c r="E75" s="6" t="s">
        <v>51</v>
      </c>
      <c r="F75" s="7" t="s">
        <v>112</v>
      </c>
      <c r="G75" s="6" t="s">
        <v>43</v>
      </c>
      <c r="H75" s="6" t="s">
        <v>190</v>
      </c>
      <c r="I75" s="6" t="s">
        <v>76</v>
      </c>
      <c r="J75" s="6" t="s">
        <v>49</v>
      </c>
      <c r="K75" s="8" t="s">
        <v>40</v>
      </c>
      <c r="L75" s="8">
        <v>4000</v>
      </c>
      <c r="M75" s="8">
        <v>200</v>
      </c>
      <c r="N75" s="8">
        <v>0</v>
      </c>
      <c r="O75" s="8">
        <v>0</v>
      </c>
      <c r="P75" s="8">
        <v>0</v>
      </c>
      <c r="Q75" s="8">
        <v>4200</v>
      </c>
      <c r="R75" s="6" t="s">
        <v>53</v>
      </c>
      <c r="S75" s="6" t="s">
        <v>191</v>
      </c>
      <c r="T75" s="6" t="s">
        <v>56</v>
      </c>
    </row>
    <row r="76" spans="1:20" s="6" customFormat="1" x14ac:dyDescent="0.25">
      <c r="A76" s="6" t="s">
        <v>40</v>
      </c>
      <c r="B76" s="6" t="s">
        <v>40</v>
      </c>
      <c r="C76" s="7" t="s">
        <v>40</v>
      </c>
      <c r="D76" s="6" t="s">
        <v>209</v>
      </c>
      <c r="E76" s="6" t="s">
        <v>51</v>
      </c>
      <c r="F76" s="7" t="s">
        <v>112</v>
      </c>
      <c r="G76" s="6" t="s">
        <v>43</v>
      </c>
      <c r="H76" s="6" t="s">
        <v>190</v>
      </c>
      <c r="I76" s="6" t="s">
        <v>76</v>
      </c>
      <c r="J76" s="6" t="s">
        <v>49</v>
      </c>
      <c r="K76" s="8" t="s">
        <v>40</v>
      </c>
      <c r="L76" s="8">
        <v>2800</v>
      </c>
      <c r="M76" s="8">
        <v>140</v>
      </c>
      <c r="N76" s="8">
        <v>0</v>
      </c>
      <c r="O76" s="8">
        <v>0</v>
      </c>
      <c r="P76" s="8">
        <v>0</v>
      </c>
      <c r="Q76" s="8">
        <v>2940</v>
      </c>
      <c r="R76" s="6" t="s">
        <v>53</v>
      </c>
      <c r="S76" s="6" t="s">
        <v>191</v>
      </c>
      <c r="T76" s="6" t="s">
        <v>56</v>
      </c>
    </row>
    <row r="77" spans="1:20" s="6" customFormat="1" x14ac:dyDescent="0.25">
      <c r="A77" s="6" t="s">
        <v>40</v>
      </c>
      <c r="B77" s="6" t="s">
        <v>40</v>
      </c>
      <c r="C77" s="7" t="s">
        <v>40</v>
      </c>
      <c r="D77" s="6" t="s">
        <v>210</v>
      </c>
      <c r="E77" s="6" t="s">
        <v>51</v>
      </c>
      <c r="F77" s="7" t="s">
        <v>112</v>
      </c>
      <c r="G77" s="6" t="s">
        <v>43</v>
      </c>
      <c r="H77" s="6" t="s">
        <v>190</v>
      </c>
      <c r="I77" s="6" t="s">
        <v>76</v>
      </c>
      <c r="J77" s="6" t="s">
        <v>49</v>
      </c>
      <c r="K77" s="8" t="s">
        <v>40</v>
      </c>
      <c r="L77" s="8">
        <v>2500</v>
      </c>
      <c r="M77" s="8">
        <v>125</v>
      </c>
      <c r="N77" s="8">
        <v>0</v>
      </c>
      <c r="O77" s="8">
        <v>0</v>
      </c>
      <c r="P77" s="8">
        <v>0</v>
      </c>
      <c r="Q77" s="8">
        <v>2625</v>
      </c>
      <c r="R77" s="6" t="s">
        <v>53</v>
      </c>
      <c r="S77" s="6" t="s">
        <v>191</v>
      </c>
      <c r="T77" s="6" t="s">
        <v>56</v>
      </c>
    </row>
    <row r="78" spans="1:20" s="6" customFormat="1" x14ac:dyDescent="0.25">
      <c r="A78" s="6" t="s">
        <v>40</v>
      </c>
      <c r="B78" s="6" t="s">
        <v>40</v>
      </c>
      <c r="C78" s="7" t="s">
        <v>40</v>
      </c>
      <c r="D78" s="6" t="s">
        <v>211</v>
      </c>
      <c r="E78" s="6" t="s">
        <v>51</v>
      </c>
      <c r="F78" s="7" t="s">
        <v>112</v>
      </c>
      <c r="G78" s="6" t="s">
        <v>43</v>
      </c>
      <c r="H78" s="6" t="s">
        <v>190</v>
      </c>
      <c r="I78" s="6" t="s">
        <v>76</v>
      </c>
      <c r="J78" s="6" t="s">
        <v>49</v>
      </c>
      <c r="K78" s="8" t="s">
        <v>40</v>
      </c>
      <c r="L78" s="8">
        <v>3800</v>
      </c>
      <c r="M78" s="8">
        <v>190</v>
      </c>
      <c r="N78" s="8">
        <v>0</v>
      </c>
      <c r="O78" s="8">
        <v>0</v>
      </c>
      <c r="P78" s="8">
        <v>0</v>
      </c>
      <c r="Q78" s="8">
        <v>3990</v>
      </c>
      <c r="R78" s="6" t="s">
        <v>53</v>
      </c>
      <c r="S78" s="6" t="s">
        <v>191</v>
      </c>
      <c r="T78" s="6" t="s">
        <v>56</v>
      </c>
    </row>
    <row r="79" spans="1:20" s="6" customFormat="1" x14ac:dyDescent="0.25">
      <c r="A79" s="6" t="s">
        <v>40</v>
      </c>
      <c r="B79" s="6" t="s">
        <v>40</v>
      </c>
      <c r="C79" s="7" t="s">
        <v>40</v>
      </c>
      <c r="D79" s="6" t="s">
        <v>212</v>
      </c>
      <c r="E79" s="6" t="s">
        <v>51</v>
      </c>
      <c r="F79" s="7" t="s">
        <v>42</v>
      </c>
      <c r="G79" s="6" t="s">
        <v>43</v>
      </c>
      <c r="H79" s="6" t="s">
        <v>213</v>
      </c>
      <c r="I79" s="6" t="s">
        <v>214</v>
      </c>
      <c r="J79" s="6" t="s">
        <v>49</v>
      </c>
      <c r="K79" s="8" t="s">
        <v>40</v>
      </c>
      <c r="L79" s="8">
        <v>834.75</v>
      </c>
      <c r="M79" s="8">
        <v>150.25</v>
      </c>
      <c r="N79" s="8">
        <v>0</v>
      </c>
      <c r="O79" s="8">
        <v>0</v>
      </c>
      <c r="P79" s="8">
        <v>0</v>
      </c>
      <c r="Q79" s="8">
        <v>985</v>
      </c>
      <c r="R79" s="6" t="s">
        <v>53</v>
      </c>
      <c r="S79" s="6" t="s">
        <v>55</v>
      </c>
      <c r="T79" s="6" t="s">
        <v>56</v>
      </c>
    </row>
    <row r="80" spans="1:20" s="6" customFormat="1" x14ac:dyDescent="0.25">
      <c r="A80" s="6" t="s">
        <v>40</v>
      </c>
      <c r="B80" s="6" t="s">
        <v>40</v>
      </c>
      <c r="C80" s="7" t="s">
        <v>40</v>
      </c>
      <c r="D80" s="6" t="s">
        <v>215</v>
      </c>
      <c r="E80" s="6" t="s">
        <v>51</v>
      </c>
      <c r="F80" s="7" t="s">
        <v>42</v>
      </c>
      <c r="G80" s="6" t="s">
        <v>43</v>
      </c>
      <c r="H80" s="6" t="s">
        <v>216</v>
      </c>
      <c r="I80" s="6" t="s">
        <v>217</v>
      </c>
      <c r="J80" s="6" t="s">
        <v>49</v>
      </c>
      <c r="K80" s="8" t="s">
        <v>40</v>
      </c>
      <c r="L80" s="8">
        <v>21762</v>
      </c>
      <c r="M80" s="8">
        <v>0</v>
      </c>
      <c r="N80" s="8">
        <v>543</v>
      </c>
      <c r="O80" s="8">
        <v>543</v>
      </c>
      <c r="P80" s="8">
        <v>0</v>
      </c>
      <c r="Q80" s="8">
        <v>22848</v>
      </c>
      <c r="R80" s="6" t="s">
        <v>53</v>
      </c>
      <c r="S80" s="6" t="s">
        <v>55</v>
      </c>
      <c r="T80" s="6" t="s">
        <v>56</v>
      </c>
    </row>
    <row r="81" spans="1:20" s="6" customFormat="1" x14ac:dyDescent="0.25">
      <c r="A81" s="6" t="s">
        <v>40</v>
      </c>
      <c r="B81" s="6" t="s">
        <v>40</v>
      </c>
      <c r="C81" s="7" t="s">
        <v>40</v>
      </c>
      <c r="D81" s="6" t="s">
        <v>218</v>
      </c>
      <c r="E81" s="6" t="s">
        <v>51</v>
      </c>
      <c r="F81" s="7" t="s">
        <v>42</v>
      </c>
      <c r="G81" s="6" t="s">
        <v>219</v>
      </c>
      <c r="H81" s="6" t="s">
        <v>216</v>
      </c>
      <c r="I81" s="6" t="s">
        <v>217</v>
      </c>
      <c r="J81" s="6" t="s">
        <v>49</v>
      </c>
      <c r="K81" s="8" t="s">
        <v>40</v>
      </c>
      <c r="L81" s="8">
        <v>10771</v>
      </c>
      <c r="M81" s="8">
        <v>0</v>
      </c>
      <c r="N81" s="8">
        <v>269</v>
      </c>
      <c r="O81" s="8">
        <v>269</v>
      </c>
      <c r="P81" s="8">
        <v>0</v>
      </c>
      <c r="Q81" s="8">
        <v>11309</v>
      </c>
      <c r="R81" s="6" t="s">
        <v>53</v>
      </c>
      <c r="S81" s="6" t="s">
        <v>55</v>
      </c>
      <c r="T81" s="6" t="s">
        <v>56</v>
      </c>
    </row>
    <row r="82" spans="1:20" s="6" customFormat="1" x14ac:dyDescent="0.25">
      <c r="A82" s="6" t="s">
        <v>40</v>
      </c>
      <c r="B82" s="6" t="s">
        <v>40</v>
      </c>
      <c r="C82" s="7" t="s">
        <v>40</v>
      </c>
      <c r="D82" s="6" t="s">
        <v>221</v>
      </c>
      <c r="E82" s="6" t="s">
        <v>51</v>
      </c>
      <c r="F82" s="7" t="s">
        <v>121</v>
      </c>
      <c r="G82" s="6" t="s">
        <v>43</v>
      </c>
      <c r="H82" s="6" t="s">
        <v>190</v>
      </c>
      <c r="I82" s="6" t="s">
        <v>76</v>
      </c>
      <c r="J82" s="6" t="s">
        <v>49</v>
      </c>
      <c r="K82" s="8" t="s">
        <v>40</v>
      </c>
      <c r="L82" s="8">
        <v>1500</v>
      </c>
      <c r="M82" s="8">
        <v>75</v>
      </c>
      <c r="N82" s="8">
        <v>0</v>
      </c>
      <c r="O82" s="8">
        <v>0</v>
      </c>
      <c r="P82" s="8">
        <v>0</v>
      </c>
      <c r="Q82" s="8">
        <v>1575</v>
      </c>
      <c r="R82" s="6" t="s">
        <v>53</v>
      </c>
      <c r="S82" s="6" t="s">
        <v>191</v>
      </c>
      <c r="T82" s="6" t="s">
        <v>56</v>
      </c>
    </row>
    <row r="83" spans="1:20" s="6" customFormat="1" x14ac:dyDescent="0.25">
      <c r="A83" s="6" t="s">
        <v>40</v>
      </c>
      <c r="B83" s="6" t="s">
        <v>40</v>
      </c>
      <c r="C83" s="7" t="s">
        <v>40</v>
      </c>
      <c r="D83" s="6" t="s">
        <v>222</v>
      </c>
      <c r="E83" s="6" t="s">
        <v>51</v>
      </c>
      <c r="F83" s="7" t="s">
        <v>121</v>
      </c>
      <c r="G83" s="6" t="s">
        <v>43</v>
      </c>
      <c r="H83" s="6" t="s">
        <v>190</v>
      </c>
      <c r="I83" s="6" t="s">
        <v>76</v>
      </c>
      <c r="J83" s="6" t="s">
        <v>49</v>
      </c>
      <c r="K83" s="8" t="s">
        <v>40</v>
      </c>
      <c r="L83" s="8">
        <v>3000</v>
      </c>
      <c r="M83" s="8">
        <v>150</v>
      </c>
      <c r="N83" s="8">
        <v>0</v>
      </c>
      <c r="O83" s="8">
        <v>0</v>
      </c>
      <c r="P83" s="8">
        <v>0</v>
      </c>
      <c r="Q83" s="8">
        <v>3150</v>
      </c>
      <c r="R83" s="6" t="s">
        <v>53</v>
      </c>
      <c r="S83" s="6" t="s">
        <v>191</v>
      </c>
      <c r="T83" s="6" t="s">
        <v>56</v>
      </c>
    </row>
    <row r="84" spans="1:20" s="6" customFormat="1" x14ac:dyDescent="0.25">
      <c r="A84" s="6" t="s">
        <v>40</v>
      </c>
      <c r="B84" s="6" t="s">
        <v>40</v>
      </c>
      <c r="C84" s="7" t="s">
        <v>40</v>
      </c>
      <c r="D84" s="6" t="s">
        <v>223</v>
      </c>
      <c r="E84" s="6" t="s">
        <v>51</v>
      </c>
      <c r="F84" s="7" t="s">
        <v>121</v>
      </c>
      <c r="G84" s="6" t="s">
        <v>43</v>
      </c>
      <c r="H84" s="6" t="s">
        <v>190</v>
      </c>
      <c r="I84" s="6" t="s">
        <v>76</v>
      </c>
      <c r="J84" s="6" t="s">
        <v>49</v>
      </c>
      <c r="K84" s="8" t="s">
        <v>40</v>
      </c>
      <c r="L84" s="8">
        <v>1800</v>
      </c>
      <c r="M84" s="8">
        <v>90</v>
      </c>
      <c r="N84" s="8">
        <v>0</v>
      </c>
      <c r="O84" s="8">
        <v>0</v>
      </c>
      <c r="P84" s="8">
        <v>0</v>
      </c>
      <c r="Q84" s="8">
        <v>1890</v>
      </c>
      <c r="R84" s="6" t="s">
        <v>53</v>
      </c>
      <c r="S84" s="6" t="s">
        <v>191</v>
      </c>
      <c r="T84" s="6" t="s">
        <v>56</v>
      </c>
    </row>
    <row r="85" spans="1:20" s="6" customFormat="1" x14ac:dyDescent="0.25">
      <c r="A85" s="6" t="s">
        <v>40</v>
      </c>
      <c r="B85" s="6" t="s">
        <v>40</v>
      </c>
      <c r="C85" s="7" t="s">
        <v>40</v>
      </c>
      <c r="D85" s="6" t="s">
        <v>224</v>
      </c>
      <c r="E85" s="6" t="s">
        <v>51</v>
      </c>
      <c r="F85" s="7" t="s">
        <v>121</v>
      </c>
      <c r="G85" s="6" t="s">
        <v>43</v>
      </c>
      <c r="H85" s="6" t="s">
        <v>190</v>
      </c>
      <c r="I85" s="6" t="s">
        <v>76</v>
      </c>
      <c r="J85" s="6" t="s">
        <v>49</v>
      </c>
      <c r="K85" s="8" t="s">
        <v>40</v>
      </c>
      <c r="L85" s="8">
        <v>3000</v>
      </c>
      <c r="M85" s="8">
        <v>150</v>
      </c>
      <c r="N85" s="8">
        <v>0</v>
      </c>
      <c r="O85" s="8">
        <v>0</v>
      </c>
      <c r="P85" s="8">
        <v>0</v>
      </c>
      <c r="Q85" s="8">
        <v>3150</v>
      </c>
      <c r="R85" s="6" t="s">
        <v>53</v>
      </c>
      <c r="S85" s="6" t="s">
        <v>191</v>
      </c>
      <c r="T85" s="6" t="s">
        <v>56</v>
      </c>
    </row>
    <row r="86" spans="1:20" s="6" customFormat="1" x14ac:dyDescent="0.25">
      <c r="A86" s="6" t="s">
        <v>40</v>
      </c>
      <c r="B86" s="6" t="s">
        <v>40</v>
      </c>
      <c r="C86" s="7" t="s">
        <v>40</v>
      </c>
      <c r="D86" s="6" t="s">
        <v>225</v>
      </c>
      <c r="E86" s="6" t="s">
        <v>51</v>
      </c>
      <c r="F86" s="7" t="s">
        <v>129</v>
      </c>
      <c r="G86" s="6" t="s">
        <v>43</v>
      </c>
      <c r="H86" s="6" t="s">
        <v>190</v>
      </c>
      <c r="I86" s="6" t="s">
        <v>76</v>
      </c>
      <c r="J86" s="6" t="s">
        <v>49</v>
      </c>
      <c r="K86" s="8" t="s">
        <v>40</v>
      </c>
      <c r="L86" s="8">
        <v>2800</v>
      </c>
      <c r="M86" s="8">
        <v>140</v>
      </c>
      <c r="N86" s="8">
        <v>0</v>
      </c>
      <c r="O86" s="8">
        <v>0</v>
      </c>
      <c r="P86" s="8">
        <v>0</v>
      </c>
      <c r="Q86" s="8">
        <v>2940</v>
      </c>
      <c r="R86" s="6" t="s">
        <v>53</v>
      </c>
      <c r="S86" s="6" t="s">
        <v>191</v>
      </c>
      <c r="T86" s="6" t="s">
        <v>56</v>
      </c>
    </row>
    <row r="87" spans="1:20" s="6" customFormat="1" x14ac:dyDescent="0.25">
      <c r="A87" s="6" t="s">
        <v>40</v>
      </c>
      <c r="B87" s="6" t="s">
        <v>40</v>
      </c>
      <c r="C87" s="7" t="s">
        <v>40</v>
      </c>
      <c r="D87" s="6" t="s">
        <v>226</v>
      </c>
      <c r="E87" s="6" t="s">
        <v>51</v>
      </c>
      <c r="F87" s="7" t="s">
        <v>227</v>
      </c>
      <c r="G87" s="6" t="s">
        <v>43</v>
      </c>
      <c r="H87" s="6" t="s">
        <v>213</v>
      </c>
      <c r="I87" s="6" t="s">
        <v>214</v>
      </c>
      <c r="J87" s="6" t="s">
        <v>49</v>
      </c>
      <c r="K87" s="8" t="s">
        <v>40</v>
      </c>
      <c r="L87" s="8">
        <v>877.97</v>
      </c>
      <c r="M87" s="8">
        <v>158.03</v>
      </c>
      <c r="N87" s="8">
        <v>0</v>
      </c>
      <c r="O87" s="8">
        <v>0</v>
      </c>
      <c r="P87" s="8">
        <v>0</v>
      </c>
      <c r="Q87" s="8">
        <v>1036</v>
      </c>
      <c r="R87" s="6" t="s">
        <v>53</v>
      </c>
      <c r="S87" s="6" t="s">
        <v>55</v>
      </c>
      <c r="T87" s="6" t="s">
        <v>56</v>
      </c>
    </row>
    <row r="88" spans="1:20" s="6" customFormat="1" x14ac:dyDescent="0.25">
      <c r="A88" s="6" t="s">
        <v>40</v>
      </c>
      <c r="B88" s="6" t="s">
        <v>40</v>
      </c>
      <c r="C88" s="7" t="s">
        <v>40</v>
      </c>
      <c r="D88" s="6" t="s">
        <v>228</v>
      </c>
      <c r="E88" s="6" t="s">
        <v>51</v>
      </c>
      <c r="F88" s="7" t="s">
        <v>227</v>
      </c>
      <c r="G88" s="6" t="s">
        <v>43</v>
      </c>
      <c r="H88" s="6" t="s">
        <v>216</v>
      </c>
      <c r="I88" s="6" t="s">
        <v>217</v>
      </c>
      <c r="J88" s="6" t="s">
        <v>49</v>
      </c>
      <c r="K88" s="8" t="s">
        <v>40</v>
      </c>
      <c r="L88" s="8">
        <v>9701</v>
      </c>
      <c r="M88" s="8">
        <v>0</v>
      </c>
      <c r="N88" s="8">
        <v>242</v>
      </c>
      <c r="O88" s="8">
        <v>242</v>
      </c>
      <c r="P88" s="8">
        <v>0</v>
      </c>
      <c r="Q88" s="8">
        <v>10185</v>
      </c>
      <c r="R88" s="6" t="s">
        <v>53</v>
      </c>
      <c r="S88" s="6" t="s">
        <v>55</v>
      </c>
      <c r="T88" s="6" t="s">
        <v>56</v>
      </c>
    </row>
    <row r="89" spans="1:20" s="6" customFormat="1" x14ac:dyDescent="0.25">
      <c r="A89" s="6" t="s">
        <v>40</v>
      </c>
      <c r="B89" s="6" t="s">
        <v>40</v>
      </c>
      <c r="C89" s="7" t="s">
        <v>40</v>
      </c>
      <c r="D89" s="6" t="s">
        <v>229</v>
      </c>
      <c r="E89" s="6" t="s">
        <v>51</v>
      </c>
      <c r="F89" s="7" t="s">
        <v>132</v>
      </c>
      <c r="G89" s="6" t="s">
        <v>43</v>
      </c>
      <c r="H89" s="6" t="s">
        <v>190</v>
      </c>
      <c r="I89" s="6" t="s">
        <v>76</v>
      </c>
      <c r="J89" s="6" t="s">
        <v>49</v>
      </c>
      <c r="K89" s="8" t="s">
        <v>40</v>
      </c>
      <c r="L89" s="8">
        <v>2800</v>
      </c>
      <c r="M89" s="8">
        <v>140</v>
      </c>
      <c r="N89" s="8">
        <v>0</v>
      </c>
      <c r="O89" s="8">
        <v>0</v>
      </c>
      <c r="P89" s="8">
        <v>0</v>
      </c>
      <c r="Q89" s="8">
        <v>2940</v>
      </c>
      <c r="R89" s="6" t="s">
        <v>53</v>
      </c>
      <c r="S89" s="6" t="s">
        <v>191</v>
      </c>
      <c r="T89" s="6" t="s">
        <v>56</v>
      </c>
    </row>
    <row r="90" spans="1:20" s="6" customFormat="1" x14ac:dyDescent="0.25">
      <c r="A90" s="6" t="s">
        <v>40</v>
      </c>
      <c r="B90" s="6" t="s">
        <v>40</v>
      </c>
      <c r="C90" s="7" t="s">
        <v>40</v>
      </c>
      <c r="D90" s="6" t="s">
        <v>230</v>
      </c>
      <c r="E90" s="6" t="s">
        <v>51</v>
      </c>
      <c r="F90" s="7" t="s">
        <v>132</v>
      </c>
      <c r="G90" s="6" t="s">
        <v>43</v>
      </c>
      <c r="H90" s="6" t="s">
        <v>190</v>
      </c>
      <c r="I90" s="6" t="s">
        <v>76</v>
      </c>
      <c r="J90" s="6" t="s">
        <v>49</v>
      </c>
      <c r="K90" s="8" t="s">
        <v>40</v>
      </c>
      <c r="L90" s="8">
        <v>5600</v>
      </c>
      <c r="M90" s="8">
        <v>280</v>
      </c>
      <c r="N90" s="8">
        <v>0</v>
      </c>
      <c r="O90" s="8">
        <v>0</v>
      </c>
      <c r="P90" s="8">
        <v>0</v>
      </c>
      <c r="Q90" s="8">
        <v>5880</v>
      </c>
      <c r="R90" s="6" t="s">
        <v>53</v>
      </c>
      <c r="S90" s="6" t="s">
        <v>191</v>
      </c>
      <c r="T90" s="6" t="s">
        <v>56</v>
      </c>
    </row>
    <row r="91" spans="1:20" s="6" customFormat="1" x14ac:dyDescent="0.25">
      <c r="A91" s="6" t="s">
        <v>40</v>
      </c>
      <c r="B91" s="6" t="s">
        <v>40</v>
      </c>
      <c r="C91" s="7" t="s">
        <v>40</v>
      </c>
      <c r="D91" s="6" t="s">
        <v>231</v>
      </c>
      <c r="E91" s="6" t="s">
        <v>51</v>
      </c>
      <c r="F91" s="7" t="s">
        <v>132</v>
      </c>
      <c r="G91" s="6" t="s">
        <v>43</v>
      </c>
      <c r="H91" s="6" t="s">
        <v>190</v>
      </c>
      <c r="I91" s="6" t="s">
        <v>76</v>
      </c>
      <c r="J91" s="6" t="s">
        <v>49</v>
      </c>
      <c r="K91" s="8" t="s">
        <v>40</v>
      </c>
      <c r="L91" s="8">
        <v>6300</v>
      </c>
      <c r="M91" s="8">
        <v>315</v>
      </c>
      <c r="N91" s="8">
        <v>0</v>
      </c>
      <c r="O91" s="8">
        <v>0</v>
      </c>
      <c r="P91" s="8">
        <v>0</v>
      </c>
      <c r="Q91" s="8">
        <v>6615</v>
      </c>
      <c r="R91" s="6" t="s">
        <v>53</v>
      </c>
      <c r="S91" s="6" t="s">
        <v>191</v>
      </c>
      <c r="T91" s="6" t="s">
        <v>56</v>
      </c>
    </row>
    <row r="92" spans="1:20" s="6" customFormat="1" x14ac:dyDescent="0.25">
      <c r="A92" s="6" t="s">
        <v>40</v>
      </c>
      <c r="B92" s="6" t="s">
        <v>40</v>
      </c>
      <c r="C92" s="7" t="s">
        <v>40</v>
      </c>
      <c r="D92" s="6" t="s">
        <v>232</v>
      </c>
      <c r="E92" s="6" t="s">
        <v>51</v>
      </c>
      <c r="F92" s="7" t="s">
        <v>91</v>
      </c>
      <c r="G92" s="6" t="s">
        <v>43</v>
      </c>
      <c r="H92" s="6" t="s">
        <v>185</v>
      </c>
      <c r="I92" s="6" t="s">
        <v>186</v>
      </c>
      <c r="J92" s="6" t="s">
        <v>49</v>
      </c>
      <c r="K92" s="8" t="s">
        <v>40</v>
      </c>
      <c r="L92" s="8">
        <v>37142.9</v>
      </c>
      <c r="M92" s="8">
        <v>0</v>
      </c>
      <c r="N92" s="8">
        <v>928.57</v>
      </c>
      <c r="O92" s="8">
        <v>928.57</v>
      </c>
      <c r="P92" s="8">
        <v>0</v>
      </c>
      <c r="Q92" s="8">
        <v>39000</v>
      </c>
      <c r="R92" s="6" t="s">
        <v>53</v>
      </c>
      <c r="S92" s="6" t="s">
        <v>202</v>
      </c>
      <c r="T92" s="6" t="s">
        <v>56</v>
      </c>
    </row>
    <row r="93" spans="1:20" s="6" customFormat="1" x14ac:dyDescent="0.25">
      <c r="A93" s="6" t="s">
        <v>40</v>
      </c>
      <c r="B93" s="6" t="s">
        <v>40</v>
      </c>
      <c r="C93" s="7" t="s">
        <v>40</v>
      </c>
      <c r="D93" s="6" t="s">
        <v>233</v>
      </c>
      <c r="E93" s="6" t="s">
        <v>51</v>
      </c>
      <c r="F93" s="7" t="s">
        <v>91</v>
      </c>
      <c r="G93" s="6" t="s">
        <v>43</v>
      </c>
      <c r="H93" s="6" t="s">
        <v>190</v>
      </c>
      <c r="I93" s="6" t="s">
        <v>76</v>
      </c>
      <c r="J93" s="6" t="s">
        <v>49</v>
      </c>
      <c r="K93" s="8" t="s">
        <v>40</v>
      </c>
      <c r="L93" s="8">
        <v>5000</v>
      </c>
      <c r="M93" s="8">
        <v>250</v>
      </c>
      <c r="N93" s="8">
        <v>0</v>
      </c>
      <c r="O93" s="8">
        <v>0</v>
      </c>
      <c r="P93" s="8">
        <v>0</v>
      </c>
      <c r="Q93" s="8">
        <v>5250</v>
      </c>
      <c r="R93" s="6" t="s">
        <v>53</v>
      </c>
      <c r="S93" s="6" t="s">
        <v>191</v>
      </c>
      <c r="T93" s="6" t="s">
        <v>56</v>
      </c>
    </row>
    <row r="94" spans="1:20" s="6" customFormat="1" x14ac:dyDescent="0.25">
      <c r="A94" s="6" t="s">
        <v>40</v>
      </c>
      <c r="B94" s="6" t="s">
        <v>40</v>
      </c>
      <c r="C94" s="7" t="s">
        <v>40</v>
      </c>
      <c r="D94" s="6" t="s">
        <v>234</v>
      </c>
      <c r="E94" s="6" t="s">
        <v>51</v>
      </c>
      <c r="F94" s="7" t="s">
        <v>91</v>
      </c>
      <c r="G94" s="6" t="s">
        <v>43</v>
      </c>
      <c r="H94" s="6" t="s">
        <v>190</v>
      </c>
      <c r="I94" s="6" t="s">
        <v>76</v>
      </c>
      <c r="J94" s="6" t="s">
        <v>49</v>
      </c>
      <c r="K94" s="8" t="s">
        <v>40</v>
      </c>
      <c r="L94" s="8">
        <v>2500</v>
      </c>
      <c r="M94" s="8">
        <v>125</v>
      </c>
      <c r="N94" s="8">
        <v>0</v>
      </c>
      <c r="O94" s="8">
        <v>0</v>
      </c>
      <c r="P94" s="8">
        <v>0</v>
      </c>
      <c r="Q94" s="8">
        <v>2625</v>
      </c>
      <c r="R94" s="6" t="s">
        <v>53</v>
      </c>
      <c r="S94" s="6" t="s">
        <v>191</v>
      </c>
      <c r="T94" s="6" t="s">
        <v>56</v>
      </c>
    </row>
    <row r="95" spans="1:20" s="6" customFormat="1" x14ac:dyDescent="0.25">
      <c r="A95" s="6" t="s">
        <v>40</v>
      </c>
      <c r="B95" s="6" t="s">
        <v>40</v>
      </c>
      <c r="C95" s="7" t="s">
        <v>40</v>
      </c>
      <c r="D95" s="6" t="s">
        <v>235</v>
      </c>
      <c r="E95" s="6" t="s">
        <v>51</v>
      </c>
      <c r="F95" s="7" t="s">
        <v>236</v>
      </c>
      <c r="G95" s="6" t="s">
        <v>43</v>
      </c>
      <c r="H95" s="6" t="s">
        <v>190</v>
      </c>
      <c r="I95" s="6" t="s">
        <v>76</v>
      </c>
      <c r="J95" s="6" t="s">
        <v>49</v>
      </c>
      <c r="K95" s="8" t="s">
        <v>40</v>
      </c>
      <c r="L95" s="8">
        <v>3800</v>
      </c>
      <c r="M95" s="8">
        <v>190</v>
      </c>
      <c r="N95" s="8">
        <v>0</v>
      </c>
      <c r="O95" s="8">
        <v>0</v>
      </c>
      <c r="P95" s="8">
        <v>0</v>
      </c>
      <c r="Q95" s="8">
        <v>3990</v>
      </c>
      <c r="R95" s="6" t="s">
        <v>53</v>
      </c>
      <c r="S95" s="6" t="s">
        <v>191</v>
      </c>
      <c r="T95" s="6" t="s">
        <v>56</v>
      </c>
    </row>
    <row r="96" spans="1:20" s="6" customFormat="1" x14ac:dyDescent="0.25">
      <c r="A96" s="6" t="s">
        <v>40</v>
      </c>
      <c r="B96" s="6" t="s">
        <v>40</v>
      </c>
      <c r="C96" s="7" t="s">
        <v>40</v>
      </c>
      <c r="D96" s="6" t="s">
        <v>237</v>
      </c>
      <c r="E96" s="6" t="s">
        <v>51</v>
      </c>
      <c r="F96" s="7" t="s">
        <v>238</v>
      </c>
      <c r="G96" s="6" t="s">
        <v>43</v>
      </c>
      <c r="H96" s="6" t="s">
        <v>239</v>
      </c>
      <c r="I96" s="6" t="s">
        <v>240</v>
      </c>
      <c r="J96" s="6" t="s">
        <v>49</v>
      </c>
      <c r="K96" s="8" t="s">
        <v>40</v>
      </c>
      <c r="L96" s="8">
        <v>6</v>
      </c>
      <c r="M96" s="8">
        <v>0</v>
      </c>
      <c r="N96" s="8">
        <v>0.54</v>
      </c>
      <c r="O96" s="8">
        <v>0.54</v>
      </c>
      <c r="P96" s="8">
        <v>0</v>
      </c>
      <c r="Q96" s="8">
        <v>7.08</v>
      </c>
      <c r="R96" s="6" t="s">
        <v>53</v>
      </c>
      <c r="S96" s="6" t="s">
        <v>55</v>
      </c>
      <c r="T96" s="6" t="s">
        <v>56</v>
      </c>
    </row>
    <row r="97" spans="1:20" s="6" customFormat="1" x14ac:dyDescent="0.25">
      <c r="A97" s="6" t="s">
        <v>40</v>
      </c>
      <c r="B97" s="6" t="s">
        <v>40</v>
      </c>
      <c r="C97" s="7" t="s">
        <v>40</v>
      </c>
      <c r="D97" s="6" t="s">
        <v>241</v>
      </c>
      <c r="E97" s="6" t="s">
        <v>51</v>
      </c>
      <c r="F97" s="7" t="s">
        <v>238</v>
      </c>
      <c r="G97" s="6" t="s">
        <v>43</v>
      </c>
      <c r="H97" s="6" t="s">
        <v>190</v>
      </c>
      <c r="I97" s="6" t="s">
        <v>76</v>
      </c>
      <c r="J97" s="6" t="s">
        <v>49</v>
      </c>
      <c r="K97" s="8" t="s">
        <v>40</v>
      </c>
      <c r="L97" s="8">
        <v>2500</v>
      </c>
      <c r="M97" s="8">
        <v>125</v>
      </c>
      <c r="N97" s="8">
        <v>0</v>
      </c>
      <c r="O97" s="8">
        <v>0</v>
      </c>
      <c r="P97" s="8">
        <v>0</v>
      </c>
      <c r="Q97" s="8">
        <v>2625</v>
      </c>
      <c r="R97" s="6" t="s">
        <v>53</v>
      </c>
      <c r="S97" s="6" t="s">
        <v>191</v>
      </c>
      <c r="T97" s="6" t="s">
        <v>56</v>
      </c>
    </row>
    <row r="98" spans="1:20" s="6" customFormat="1" x14ac:dyDescent="0.25">
      <c r="A98" s="6" t="s">
        <v>40</v>
      </c>
      <c r="B98" s="6" t="s">
        <v>40</v>
      </c>
      <c r="C98" s="7" t="s">
        <v>40</v>
      </c>
      <c r="D98" s="6" t="s">
        <v>242</v>
      </c>
      <c r="E98" s="6" t="s">
        <v>51</v>
      </c>
      <c r="F98" s="7" t="s">
        <v>147</v>
      </c>
      <c r="G98" s="6" t="s">
        <v>43</v>
      </c>
      <c r="H98" s="6" t="s">
        <v>190</v>
      </c>
      <c r="I98" s="6" t="s">
        <v>76</v>
      </c>
      <c r="J98" s="6" t="s">
        <v>49</v>
      </c>
      <c r="K98" s="8" t="s">
        <v>40</v>
      </c>
      <c r="L98" s="8">
        <v>3800</v>
      </c>
      <c r="M98" s="8">
        <v>190</v>
      </c>
      <c r="N98" s="8">
        <v>0</v>
      </c>
      <c r="O98" s="8">
        <v>0</v>
      </c>
      <c r="P98" s="8">
        <v>0</v>
      </c>
      <c r="Q98" s="8">
        <v>3990</v>
      </c>
      <c r="R98" s="6" t="s">
        <v>53</v>
      </c>
      <c r="S98" s="6" t="s">
        <v>191</v>
      </c>
      <c r="T98" s="6" t="s">
        <v>56</v>
      </c>
    </row>
    <row r="99" spans="1:20" s="6" customFormat="1" x14ac:dyDescent="0.25">
      <c r="A99" s="6" t="s">
        <v>40</v>
      </c>
      <c r="B99" s="6" t="s">
        <v>40</v>
      </c>
      <c r="C99" s="7" t="s">
        <v>40</v>
      </c>
      <c r="D99" s="6" t="s">
        <v>243</v>
      </c>
      <c r="E99" s="6" t="s">
        <v>51</v>
      </c>
      <c r="F99" s="7" t="s">
        <v>147</v>
      </c>
      <c r="G99" s="6" t="s">
        <v>43</v>
      </c>
      <c r="H99" s="6" t="s">
        <v>190</v>
      </c>
      <c r="I99" s="6" t="s">
        <v>76</v>
      </c>
      <c r="J99" s="6" t="s">
        <v>49</v>
      </c>
      <c r="K99" s="8" t="s">
        <v>40</v>
      </c>
      <c r="L99" s="8">
        <v>3500</v>
      </c>
      <c r="M99" s="8">
        <v>175</v>
      </c>
      <c r="N99" s="8">
        <v>0</v>
      </c>
      <c r="O99" s="8">
        <v>0</v>
      </c>
      <c r="P99" s="8">
        <v>0</v>
      </c>
      <c r="Q99" s="8">
        <v>3675</v>
      </c>
      <c r="R99" s="6" t="s">
        <v>53</v>
      </c>
      <c r="S99" s="6" t="s">
        <v>191</v>
      </c>
      <c r="T99" s="6" t="s">
        <v>56</v>
      </c>
    </row>
    <row r="100" spans="1:20" s="6" customFormat="1" x14ac:dyDescent="0.25">
      <c r="A100" s="6" t="s">
        <v>40</v>
      </c>
      <c r="B100" s="6" t="s">
        <v>40</v>
      </c>
      <c r="C100" s="7" t="s">
        <v>40</v>
      </c>
      <c r="D100" s="6" t="s">
        <v>244</v>
      </c>
      <c r="E100" s="6" t="s">
        <v>51</v>
      </c>
      <c r="F100" s="7" t="s">
        <v>147</v>
      </c>
      <c r="G100" s="6" t="s">
        <v>43</v>
      </c>
      <c r="H100" s="6" t="s">
        <v>190</v>
      </c>
      <c r="I100" s="6" t="s">
        <v>76</v>
      </c>
      <c r="J100" s="6" t="s">
        <v>49</v>
      </c>
      <c r="K100" s="8" t="s">
        <v>40</v>
      </c>
      <c r="L100" s="8">
        <v>3800</v>
      </c>
      <c r="M100" s="8">
        <v>190</v>
      </c>
      <c r="N100" s="8">
        <v>0</v>
      </c>
      <c r="O100" s="8">
        <v>0</v>
      </c>
      <c r="P100" s="8">
        <v>0</v>
      </c>
      <c r="Q100" s="8">
        <v>3990</v>
      </c>
      <c r="R100" s="6" t="s">
        <v>53</v>
      </c>
      <c r="S100" s="6" t="s">
        <v>191</v>
      </c>
      <c r="T100" s="6" t="s">
        <v>56</v>
      </c>
    </row>
    <row r="101" spans="1:20" s="6" customFormat="1" x14ac:dyDescent="0.25">
      <c r="A101" s="6" t="s">
        <v>40</v>
      </c>
      <c r="B101" s="6" t="s">
        <v>40</v>
      </c>
      <c r="C101" s="7" t="s">
        <v>40</v>
      </c>
      <c r="D101" s="6" t="s">
        <v>245</v>
      </c>
      <c r="E101" s="6" t="s">
        <v>51</v>
      </c>
      <c r="F101" s="7" t="s">
        <v>147</v>
      </c>
      <c r="G101" s="6" t="s">
        <v>43</v>
      </c>
      <c r="H101" s="6" t="s">
        <v>190</v>
      </c>
      <c r="I101" s="6" t="s">
        <v>76</v>
      </c>
      <c r="J101" s="6" t="s">
        <v>49</v>
      </c>
      <c r="K101" s="8" t="s">
        <v>40</v>
      </c>
      <c r="L101" s="8">
        <v>2500</v>
      </c>
      <c r="M101" s="8">
        <v>125</v>
      </c>
      <c r="N101" s="8">
        <v>0</v>
      </c>
      <c r="O101" s="8">
        <v>0</v>
      </c>
      <c r="P101" s="8">
        <v>0</v>
      </c>
      <c r="Q101" s="8">
        <v>2625</v>
      </c>
      <c r="R101" s="6" t="s">
        <v>53</v>
      </c>
      <c r="S101" s="6" t="s">
        <v>191</v>
      </c>
      <c r="T101" s="6" t="s">
        <v>56</v>
      </c>
    </row>
    <row r="102" spans="1:20" s="6" customFormat="1" x14ac:dyDescent="0.25">
      <c r="A102" s="6" t="s">
        <v>40</v>
      </c>
      <c r="B102" s="6" t="s">
        <v>40</v>
      </c>
      <c r="C102" s="7" t="s">
        <v>40</v>
      </c>
      <c r="D102" s="6" t="s">
        <v>246</v>
      </c>
      <c r="E102" s="6" t="s">
        <v>51</v>
      </c>
      <c r="F102" s="7" t="s">
        <v>147</v>
      </c>
      <c r="G102" s="6" t="s">
        <v>43</v>
      </c>
      <c r="H102" s="6" t="s">
        <v>190</v>
      </c>
      <c r="I102" s="6" t="s">
        <v>76</v>
      </c>
      <c r="J102" s="6" t="s">
        <v>49</v>
      </c>
      <c r="K102" s="8" t="s">
        <v>40</v>
      </c>
      <c r="L102" s="8">
        <v>43500</v>
      </c>
      <c r="M102" s="8">
        <v>2175</v>
      </c>
      <c r="N102" s="8">
        <v>0</v>
      </c>
      <c r="O102" s="8">
        <v>0</v>
      </c>
      <c r="P102" s="8">
        <v>0</v>
      </c>
      <c r="Q102" s="8">
        <v>45675</v>
      </c>
      <c r="R102" s="6" t="s">
        <v>53</v>
      </c>
      <c r="S102" s="6" t="s">
        <v>191</v>
      </c>
      <c r="T102" s="6" t="s">
        <v>56</v>
      </c>
    </row>
    <row r="103" spans="1:20" s="6" customFormat="1" x14ac:dyDescent="0.25">
      <c r="A103" s="6" t="s">
        <v>40</v>
      </c>
      <c r="B103" s="6" t="s">
        <v>40</v>
      </c>
      <c r="C103" s="7" t="s">
        <v>40</v>
      </c>
      <c r="D103" s="6" t="s">
        <v>247</v>
      </c>
      <c r="E103" s="6" t="s">
        <v>51</v>
      </c>
      <c r="F103" s="7" t="s">
        <v>159</v>
      </c>
      <c r="G103" s="6" t="s">
        <v>43</v>
      </c>
      <c r="H103" s="6" t="s">
        <v>190</v>
      </c>
      <c r="I103" s="6" t="s">
        <v>76</v>
      </c>
      <c r="J103" s="6" t="s">
        <v>49</v>
      </c>
      <c r="K103" s="8" t="s">
        <v>40</v>
      </c>
      <c r="L103" s="8">
        <v>3500</v>
      </c>
      <c r="M103" s="8">
        <v>175</v>
      </c>
      <c r="N103" s="8">
        <v>0</v>
      </c>
      <c r="O103" s="8">
        <v>0</v>
      </c>
      <c r="P103" s="8">
        <v>0</v>
      </c>
      <c r="Q103" s="8">
        <v>3675</v>
      </c>
      <c r="R103" s="6" t="s">
        <v>53</v>
      </c>
      <c r="S103" s="6" t="s">
        <v>191</v>
      </c>
      <c r="T103" s="6" t="s">
        <v>56</v>
      </c>
    </row>
    <row r="104" spans="1:20" s="6" customFormat="1" x14ac:dyDescent="0.25">
      <c r="A104" s="6" t="s">
        <v>40</v>
      </c>
      <c r="B104" s="6" t="s">
        <v>40</v>
      </c>
      <c r="C104" s="7" t="s">
        <v>40</v>
      </c>
      <c r="D104" s="6" t="s">
        <v>248</v>
      </c>
      <c r="E104" s="6" t="s">
        <v>51</v>
      </c>
      <c r="F104" s="7" t="s">
        <v>159</v>
      </c>
      <c r="G104" s="6" t="s">
        <v>43</v>
      </c>
      <c r="H104" s="6" t="s">
        <v>190</v>
      </c>
      <c r="I104" s="6" t="s">
        <v>76</v>
      </c>
      <c r="J104" s="6" t="s">
        <v>49</v>
      </c>
      <c r="K104" s="8" t="s">
        <v>40</v>
      </c>
      <c r="L104" s="8">
        <v>2000</v>
      </c>
      <c r="M104" s="8">
        <v>100</v>
      </c>
      <c r="N104" s="8">
        <v>0</v>
      </c>
      <c r="O104" s="8">
        <v>0</v>
      </c>
      <c r="P104" s="8">
        <v>0</v>
      </c>
      <c r="Q104" s="8">
        <v>2100</v>
      </c>
      <c r="R104" s="6" t="s">
        <v>53</v>
      </c>
      <c r="S104" s="6" t="s">
        <v>191</v>
      </c>
      <c r="T104" s="6" t="s">
        <v>56</v>
      </c>
    </row>
    <row r="105" spans="1:20" s="6" customFormat="1" x14ac:dyDescent="0.25">
      <c r="A105" s="6" t="s">
        <v>40</v>
      </c>
      <c r="B105" s="6" t="s">
        <v>40</v>
      </c>
      <c r="C105" s="7" t="s">
        <v>40</v>
      </c>
      <c r="D105" s="6" t="s">
        <v>249</v>
      </c>
      <c r="E105" s="6" t="s">
        <v>51</v>
      </c>
      <c r="F105" s="7" t="s">
        <v>159</v>
      </c>
      <c r="G105" s="6" t="s">
        <v>43</v>
      </c>
      <c r="H105" s="6" t="s">
        <v>190</v>
      </c>
      <c r="I105" s="6" t="s">
        <v>76</v>
      </c>
      <c r="J105" s="6" t="s">
        <v>49</v>
      </c>
      <c r="K105" s="8" t="s">
        <v>40</v>
      </c>
      <c r="L105" s="8">
        <v>3500</v>
      </c>
      <c r="M105" s="8">
        <v>175</v>
      </c>
      <c r="N105" s="8">
        <v>0</v>
      </c>
      <c r="O105" s="8">
        <v>0</v>
      </c>
      <c r="P105" s="8">
        <v>0</v>
      </c>
      <c r="Q105" s="8">
        <v>3675</v>
      </c>
      <c r="R105" s="6" t="s">
        <v>53</v>
      </c>
      <c r="S105" s="6" t="s">
        <v>191</v>
      </c>
      <c r="T105" s="6" t="s">
        <v>56</v>
      </c>
    </row>
    <row r="106" spans="1:20" s="6" customFormat="1" x14ac:dyDescent="0.25">
      <c r="A106" s="6" t="s">
        <v>40</v>
      </c>
      <c r="B106" s="6" t="s">
        <v>40</v>
      </c>
      <c r="C106" s="7" t="s">
        <v>40</v>
      </c>
      <c r="D106" s="6" t="s">
        <v>250</v>
      </c>
      <c r="E106" s="6" t="s">
        <v>51</v>
      </c>
      <c r="F106" s="7" t="s">
        <v>164</v>
      </c>
      <c r="G106" s="6" t="s">
        <v>43</v>
      </c>
      <c r="H106" s="6" t="s">
        <v>190</v>
      </c>
      <c r="I106" s="6" t="s">
        <v>76</v>
      </c>
      <c r="J106" s="6" t="s">
        <v>49</v>
      </c>
      <c r="K106" s="8" t="s">
        <v>40</v>
      </c>
      <c r="L106" s="8">
        <v>17150</v>
      </c>
      <c r="M106" s="8">
        <v>857.5</v>
      </c>
      <c r="N106" s="8">
        <v>0</v>
      </c>
      <c r="O106" s="8">
        <v>0</v>
      </c>
      <c r="P106" s="8">
        <v>0</v>
      </c>
      <c r="Q106" s="8">
        <v>18008</v>
      </c>
      <c r="R106" s="6" t="s">
        <v>53</v>
      </c>
      <c r="S106" s="6" t="s">
        <v>191</v>
      </c>
      <c r="T106" s="6" t="s">
        <v>56</v>
      </c>
    </row>
    <row r="107" spans="1:20" s="6" customFormat="1" x14ac:dyDescent="0.25">
      <c r="A107" s="6" t="s">
        <v>40</v>
      </c>
      <c r="B107" s="6" t="s">
        <v>40</v>
      </c>
      <c r="C107" s="7" t="s">
        <v>40</v>
      </c>
      <c r="D107" s="6" t="s">
        <v>251</v>
      </c>
      <c r="E107" s="6" t="s">
        <v>51</v>
      </c>
      <c r="F107" s="7" t="s">
        <v>164</v>
      </c>
      <c r="G107" s="6" t="s">
        <v>43</v>
      </c>
      <c r="H107" s="6" t="s">
        <v>190</v>
      </c>
      <c r="I107" s="6" t="s">
        <v>76</v>
      </c>
      <c r="J107" s="6" t="s">
        <v>49</v>
      </c>
      <c r="K107" s="8" t="s">
        <v>40</v>
      </c>
      <c r="L107" s="8">
        <v>1500</v>
      </c>
      <c r="M107" s="8">
        <v>75</v>
      </c>
      <c r="N107" s="8">
        <v>0</v>
      </c>
      <c r="O107" s="8">
        <v>0</v>
      </c>
      <c r="P107" s="8">
        <v>0</v>
      </c>
      <c r="Q107" s="8">
        <v>1575</v>
      </c>
      <c r="R107" s="6" t="s">
        <v>53</v>
      </c>
      <c r="S107" s="6" t="s">
        <v>191</v>
      </c>
      <c r="T107" s="6" t="s">
        <v>56</v>
      </c>
    </row>
    <row r="108" spans="1:20" s="6" customFormat="1" x14ac:dyDescent="0.25">
      <c r="A108" s="6" t="s">
        <v>40</v>
      </c>
      <c r="B108" s="6" t="s">
        <v>40</v>
      </c>
      <c r="C108" s="7" t="s">
        <v>40</v>
      </c>
      <c r="D108" s="6" t="s">
        <v>252</v>
      </c>
      <c r="E108" s="6" t="s">
        <v>51</v>
      </c>
      <c r="F108" s="7" t="s">
        <v>164</v>
      </c>
      <c r="G108" s="6" t="s">
        <v>43</v>
      </c>
      <c r="H108" s="6" t="s">
        <v>190</v>
      </c>
      <c r="I108" s="6" t="s">
        <v>76</v>
      </c>
      <c r="J108" s="6" t="s">
        <v>49</v>
      </c>
      <c r="K108" s="8" t="s">
        <v>40</v>
      </c>
      <c r="L108" s="8">
        <v>2500</v>
      </c>
      <c r="M108" s="8">
        <v>125</v>
      </c>
      <c r="N108" s="8">
        <v>0</v>
      </c>
      <c r="O108" s="8">
        <v>0</v>
      </c>
      <c r="P108" s="8">
        <v>0</v>
      </c>
      <c r="Q108" s="8">
        <v>2625</v>
      </c>
      <c r="R108" s="6" t="s">
        <v>53</v>
      </c>
      <c r="S108" s="6" t="s">
        <v>191</v>
      </c>
      <c r="T108" s="6" t="s">
        <v>56</v>
      </c>
    </row>
    <row r="109" spans="1:20" s="6" customFormat="1" x14ac:dyDescent="0.25">
      <c r="A109" s="6" t="s">
        <v>40</v>
      </c>
      <c r="B109" s="6" t="s">
        <v>40</v>
      </c>
      <c r="C109" s="7" t="s">
        <v>40</v>
      </c>
      <c r="D109" s="6" t="s">
        <v>253</v>
      </c>
      <c r="E109" s="6" t="s">
        <v>51</v>
      </c>
      <c r="F109" s="7" t="s">
        <v>164</v>
      </c>
      <c r="G109" s="6" t="s">
        <v>43</v>
      </c>
      <c r="H109" s="6" t="s">
        <v>190</v>
      </c>
      <c r="I109" s="6" t="s">
        <v>76</v>
      </c>
      <c r="J109" s="6" t="s">
        <v>49</v>
      </c>
      <c r="K109" s="8" t="s">
        <v>40</v>
      </c>
      <c r="L109" s="8">
        <v>1500</v>
      </c>
      <c r="M109" s="8">
        <v>75</v>
      </c>
      <c r="N109" s="8">
        <v>0</v>
      </c>
      <c r="O109" s="8">
        <v>0</v>
      </c>
      <c r="P109" s="8">
        <v>0</v>
      </c>
      <c r="Q109" s="8">
        <v>1575</v>
      </c>
      <c r="R109" s="6" t="s">
        <v>53</v>
      </c>
      <c r="S109" s="6" t="s">
        <v>191</v>
      </c>
      <c r="T109" s="6" t="s">
        <v>56</v>
      </c>
    </row>
    <row r="110" spans="1:20" s="6" customFormat="1" x14ac:dyDescent="0.25">
      <c r="A110" s="6" t="s">
        <v>40</v>
      </c>
      <c r="B110" s="6" t="s">
        <v>40</v>
      </c>
      <c r="C110" s="7" t="s">
        <v>40</v>
      </c>
      <c r="D110" s="6" t="s">
        <v>254</v>
      </c>
      <c r="E110" s="6" t="s">
        <v>51</v>
      </c>
      <c r="F110" s="7" t="s">
        <v>171</v>
      </c>
      <c r="G110" s="6" t="s">
        <v>43</v>
      </c>
      <c r="H110" s="6" t="s">
        <v>185</v>
      </c>
      <c r="I110" s="6" t="s">
        <v>186</v>
      </c>
      <c r="J110" s="6" t="s">
        <v>49</v>
      </c>
      <c r="K110" s="8" t="s">
        <v>40</v>
      </c>
      <c r="L110" s="8">
        <v>37142.9</v>
      </c>
      <c r="M110" s="8">
        <v>0</v>
      </c>
      <c r="N110" s="8">
        <v>928.57</v>
      </c>
      <c r="O110" s="8">
        <v>928.57</v>
      </c>
      <c r="P110" s="8">
        <v>0</v>
      </c>
      <c r="Q110" s="8">
        <v>39000</v>
      </c>
      <c r="R110" s="6" t="s">
        <v>53</v>
      </c>
      <c r="S110" s="6" t="s">
        <v>202</v>
      </c>
      <c r="T110" s="6" t="s">
        <v>56</v>
      </c>
    </row>
    <row r="111" spans="1:20" s="6" customFormat="1" x14ac:dyDescent="0.25">
      <c r="A111" s="6" t="s">
        <v>40</v>
      </c>
      <c r="B111" s="6" t="s">
        <v>40</v>
      </c>
      <c r="C111" s="7" t="s">
        <v>40</v>
      </c>
      <c r="D111" s="6" t="s">
        <v>255</v>
      </c>
      <c r="E111" s="6" t="s">
        <v>51</v>
      </c>
      <c r="F111" s="7" t="s">
        <v>171</v>
      </c>
      <c r="G111" s="6" t="s">
        <v>43</v>
      </c>
      <c r="H111" s="6" t="s">
        <v>190</v>
      </c>
      <c r="I111" s="6" t="s">
        <v>76</v>
      </c>
      <c r="J111" s="6" t="s">
        <v>49</v>
      </c>
      <c r="K111" s="8" t="s">
        <v>40</v>
      </c>
      <c r="L111" s="8">
        <v>2500</v>
      </c>
      <c r="M111" s="8">
        <v>125</v>
      </c>
      <c r="N111" s="8">
        <v>0</v>
      </c>
      <c r="O111" s="8">
        <v>0</v>
      </c>
      <c r="P111" s="8">
        <v>0</v>
      </c>
      <c r="Q111" s="8">
        <v>2625</v>
      </c>
      <c r="R111" s="6" t="s">
        <v>53</v>
      </c>
      <c r="S111" s="6" t="s">
        <v>191</v>
      </c>
      <c r="T111" s="6" t="s">
        <v>56</v>
      </c>
    </row>
    <row r="112" spans="1:20" s="6" customFormat="1" x14ac:dyDescent="0.25">
      <c r="A112" s="6" t="s">
        <v>40</v>
      </c>
      <c r="B112" s="6" t="s">
        <v>40</v>
      </c>
      <c r="C112" s="7" t="s">
        <v>40</v>
      </c>
      <c r="D112" s="6" t="s">
        <v>256</v>
      </c>
      <c r="E112" s="6" t="s">
        <v>51</v>
      </c>
      <c r="F112" s="7" t="s">
        <v>171</v>
      </c>
      <c r="G112" s="6" t="s">
        <v>43</v>
      </c>
      <c r="H112" s="6" t="s">
        <v>190</v>
      </c>
      <c r="I112" s="6" t="s">
        <v>76</v>
      </c>
      <c r="J112" s="6" t="s">
        <v>49</v>
      </c>
      <c r="K112" s="8" t="s">
        <v>40</v>
      </c>
      <c r="L112" s="8">
        <v>2500</v>
      </c>
      <c r="M112" s="8">
        <v>125</v>
      </c>
      <c r="N112" s="8">
        <v>0</v>
      </c>
      <c r="O112" s="8">
        <v>0</v>
      </c>
      <c r="P112" s="8">
        <v>0</v>
      </c>
      <c r="Q112" s="8">
        <v>2625</v>
      </c>
      <c r="R112" s="6" t="s">
        <v>53</v>
      </c>
      <c r="S112" s="6" t="s">
        <v>191</v>
      </c>
      <c r="T112" s="6" t="s">
        <v>56</v>
      </c>
    </row>
    <row r="113" spans="1:20" s="6" customFormat="1" x14ac:dyDescent="0.25">
      <c r="A113" s="6" t="s">
        <v>40</v>
      </c>
      <c r="B113" s="6" t="s">
        <v>40</v>
      </c>
      <c r="C113" s="7" t="s">
        <v>40</v>
      </c>
      <c r="D113" s="6" t="s">
        <v>257</v>
      </c>
      <c r="E113" s="6" t="s">
        <v>51</v>
      </c>
      <c r="F113" s="7" t="s">
        <v>178</v>
      </c>
      <c r="G113" s="6" t="s">
        <v>43</v>
      </c>
      <c r="H113" s="6" t="s">
        <v>190</v>
      </c>
      <c r="I113" s="6" t="s">
        <v>76</v>
      </c>
      <c r="J113" s="6" t="s">
        <v>49</v>
      </c>
      <c r="K113" s="8" t="s">
        <v>40</v>
      </c>
      <c r="L113" s="8">
        <v>3800</v>
      </c>
      <c r="M113" s="8">
        <v>190</v>
      </c>
      <c r="N113" s="8">
        <v>0</v>
      </c>
      <c r="O113" s="8">
        <v>0</v>
      </c>
      <c r="P113" s="8">
        <v>0</v>
      </c>
      <c r="Q113" s="8">
        <v>3990</v>
      </c>
      <c r="R113" s="6" t="s">
        <v>53</v>
      </c>
      <c r="S113" s="6" t="s">
        <v>191</v>
      </c>
      <c r="T113" s="6" t="s">
        <v>56</v>
      </c>
    </row>
    <row r="114" spans="1:20" s="6" customFormat="1" x14ac:dyDescent="0.25">
      <c r="A114" s="6" t="s">
        <v>40</v>
      </c>
      <c r="B114" s="6" t="s">
        <v>40</v>
      </c>
      <c r="C114" s="7" t="s">
        <v>40</v>
      </c>
      <c r="D114" s="6" t="s">
        <v>258</v>
      </c>
      <c r="E114" s="6" t="s">
        <v>51</v>
      </c>
      <c r="F114" s="7" t="s">
        <v>178</v>
      </c>
      <c r="G114" s="6" t="s">
        <v>43</v>
      </c>
      <c r="H114" s="6" t="s">
        <v>190</v>
      </c>
      <c r="I114" s="6" t="s">
        <v>76</v>
      </c>
      <c r="J114" s="6" t="s">
        <v>49</v>
      </c>
      <c r="K114" s="8" t="s">
        <v>40</v>
      </c>
      <c r="L114" s="8">
        <v>2500</v>
      </c>
      <c r="M114" s="8">
        <v>125</v>
      </c>
      <c r="N114" s="8">
        <v>0</v>
      </c>
      <c r="O114" s="8">
        <v>0</v>
      </c>
      <c r="P114" s="8">
        <v>0</v>
      </c>
      <c r="Q114" s="8">
        <v>2625</v>
      </c>
      <c r="R114" s="6" t="s">
        <v>53</v>
      </c>
      <c r="S114" s="6" t="s">
        <v>191</v>
      </c>
      <c r="T114" s="6" t="s">
        <v>56</v>
      </c>
    </row>
    <row r="115" spans="1:20" s="6" customFormat="1" x14ac:dyDescent="0.25">
      <c r="A115" s="6" t="s">
        <v>40</v>
      </c>
      <c r="B115" s="6" t="s">
        <v>40</v>
      </c>
      <c r="C115" s="7" t="s">
        <v>40</v>
      </c>
      <c r="D115" s="6" t="s">
        <v>259</v>
      </c>
      <c r="E115" s="6" t="s">
        <v>51</v>
      </c>
      <c r="F115" s="7" t="s">
        <v>181</v>
      </c>
      <c r="G115" s="6" t="s">
        <v>43</v>
      </c>
      <c r="H115" s="6" t="s">
        <v>239</v>
      </c>
      <c r="I115" s="6" t="s">
        <v>260</v>
      </c>
      <c r="J115" s="6" t="s">
        <v>49</v>
      </c>
      <c r="K115" s="8" t="s">
        <v>40</v>
      </c>
      <c r="L115" s="8">
        <v>99</v>
      </c>
      <c r="M115" s="8">
        <v>0</v>
      </c>
      <c r="N115" s="8">
        <v>8.91</v>
      </c>
      <c r="O115" s="8">
        <v>8.91</v>
      </c>
      <c r="P115" s="8">
        <v>0</v>
      </c>
      <c r="Q115" s="8">
        <v>116.82</v>
      </c>
      <c r="R115" s="6" t="s">
        <v>53</v>
      </c>
      <c r="S115" s="6" t="s">
        <v>55</v>
      </c>
      <c r="T115" s="6" t="s">
        <v>56</v>
      </c>
    </row>
    <row r="116" spans="1:20" s="6" customFormat="1" x14ac:dyDescent="0.25">
      <c r="A116" s="6" t="s">
        <v>40</v>
      </c>
      <c r="B116" s="6" t="s">
        <v>40</v>
      </c>
      <c r="C116" s="7" t="s">
        <v>40</v>
      </c>
      <c r="D116" s="6" t="s">
        <v>261</v>
      </c>
      <c r="E116" s="6" t="s">
        <v>51</v>
      </c>
      <c r="F116" s="7" t="s">
        <v>181</v>
      </c>
      <c r="G116" s="6" t="s">
        <v>43</v>
      </c>
      <c r="H116" s="6" t="s">
        <v>190</v>
      </c>
      <c r="I116" s="6" t="s">
        <v>76</v>
      </c>
      <c r="J116" s="6" t="s">
        <v>49</v>
      </c>
      <c r="K116" s="8" t="s">
        <v>40</v>
      </c>
      <c r="L116" s="8">
        <v>2800</v>
      </c>
      <c r="M116" s="8">
        <v>140</v>
      </c>
      <c r="N116" s="8">
        <v>0</v>
      </c>
      <c r="O116" s="8">
        <v>0</v>
      </c>
      <c r="P116" s="8">
        <v>0</v>
      </c>
      <c r="Q116" s="8">
        <v>2940</v>
      </c>
      <c r="R116" s="6" t="s">
        <v>53</v>
      </c>
      <c r="S116" s="6" t="s">
        <v>191</v>
      </c>
      <c r="T116" s="6" t="s">
        <v>56</v>
      </c>
    </row>
    <row r="117" spans="1:20" s="6" customFormat="1" x14ac:dyDescent="0.25">
      <c r="A117" s="6" t="s">
        <v>40</v>
      </c>
      <c r="B117" s="6" t="s">
        <v>40</v>
      </c>
      <c r="C117" s="7" t="s">
        <v>40</v>
      </c>
      <c r="D117" s="6" t="s">
        <v>262</v>
      </c>
      <c r="E117" s="6" t="s">
        <v>51</v>
      </c>
      <c r="F117" s="7" t="s">
        <v>181</v>
      </c>
      <c r="G117" s="6" t="s">
        <v>43</v>
      </c>
      <c r="H117" s="6" t="s">
        <v>239</v>
      </c>
      <c r="I117" s="6" t="s">
        <v>260</v>
      </c>
      <c r="J117" s="6" t="s">
        <v>49</v>
      </c>
      <c r="K117" s="8" t="s">
        <v>40</v>
      </c>
      <c r="L117" s="8">
        <v>355.67</v>
      </c>
      <c r="M117" s="8">
        <v>0</v>
      </c>
      <c r="N117" s="8">
        <v>32.01</v>
      </c>
      <c r="O117" s="8">
        <v>32.01</v>
      </c>
      <c r="P117" s="8">
        <v>0</v>
      </c>
      <c r="Q117" s="8">
        <v>419.69</v>
      </c>
      <c r="R117" s="6" t="s">
        <v>53</v>
      </c>
      <c r="S117" s="6" t="s">
        <v>55</v>
      </c>
      <c r="T117" s="6" t="s">
        <v>56</v>
      </c>
    </row>
    <row r="118" spans="1:20" x14ac:dyDescent="0.25">
      <c r="I118" s="20" t="s">
        <v>263</v>
      </c>
      <c r="J118" s="20" t="s">
        <v>263</v>
      </c>
      <c r="K118" s="21" t="s">
        <v>263</v>
      </c>
      <c r="L118" s="9">
        <f t="shared" ref="L118:Q118" si="2">SUM(L58:L117)</f>
        <v>386028.99</v>
      </c>
      <c r="M118" s="9">
        <f t="shared" si="2"/>
        <v>9960.7800000000007</v>
      </c>
      <c r="N118" s="9">
        <f t="shared" si="2"/>
        <v>4809.7400000000007</v>
      </c>
      <c r="O118" s="9">
        <f t="shared" si="2"/>
        <v>4809.7400000000007</v>
      </c>
      <c r="P118" s="9">
        <f t="shared" si="2"/>
        <v>0</v>
      </c>
      <c r="Q118" s="9">
        <f t="shared" si="2"/>
        <v>405609.58999999997</v>
      </c>
    </row>
  </sheetData>
  <mergeCells count="9">
    <mergeCell ref="A9:R9"/>
    <mergeCell ref="I56:K56"/>
    <mergeCell ref="A57:R57"/>
    <mergeCell ref="I118:K118"/>
    <mergeCell ref="A1:C1"/>
    <mergeCell ref="A3:R3"/>
    <mergeCell ref="I6:K6"/>
    <mergeCell ref="I7:K7"/>
    <mergeCell ref="I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</vt:lpstr>
      <vt:lpstr>Mismatched</vt:lpstr>
      <vt:lpstr>Partial_Matched</vt:lpstr>
      <vt:lpstr>Consolidated</vt:lpstr>
      <vt:lpstr>Miracle_Only</vt:lpstr>
      <vt:lpstr>2B_Only</vt:lpstr>
      <vt:lpstr>GSTR_2BCompact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2026-05-19T06:57:33Z</dcterms:created>
  <dcterms:modified xsi:type="dcterms:W3CDTF">2026-05-19T12:01:38Z</dcterms:modified>
</cp:coreProperties>
</file>