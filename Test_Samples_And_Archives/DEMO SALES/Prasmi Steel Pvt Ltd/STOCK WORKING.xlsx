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Prasmi Steel Pvt Ltd/"/>
    </mc:Choice>
  </mc:AlternateContent>
  <xr:revisionPtr revIDLastSave="0" documentId="13_ncr:1_{CD1CB22E-4069-496C-9CD4-E32FAD28A32C}" xr6:coauthVersionLast="47" xr6:coauthVersionMax="47" xr10:uidLastSave="{00000000-0000-0000-0000-000000000000}"/>
  <bookViews>
    <workbookView xWindow="-120" yWindow="-120" windowWidth="24240" windowHeight="13020" xr2:uid="{26BEA7E8-560A-4DD6-BD19-C977AB5E58F4}"/>
  </bookViews>
  <sheets>
    <sheet name="SUMMARY" sheetId="3" r:id="rId1"/>
    <sheet name="FY 2025-26 SALES" sheetId="5" r:id="rId2"/>
    <sheet name="FY 2025-26 PURCHASE" sheetId="4" r:id="rId3"/>
    <sheet name="FY 24-25 PURCHASE" sheetId="1" r:id="rId4"/>
    <sheet name="FY 24-25 SALE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6" i="3" s="1"/>
  <c r="C13" i="3"/>
  <c r="B13" i="3"/>
  <c r="J41" i="4"/>
  <c r="H41" i="4"/>
  <c r="F41" i="4"/>
  <c r="F39" i="4"/>
  <c r="J39" i="4"/>
  <c r="H39" i="4"/>
  <c r="C14" i="3"/>
  <c r="F162" i="5"/>
  <c r="F164" i="5" s="1"/>
  <c r="J162" i="5"/>
  <c r="J164" i="5" s="1"/>
  <c r="H162" i="5"/>
  <c r="H164" i="5" s="1"/>
  <c r="D12" i="3"/>
  <c r="C12" i="3"/>
  <c r="B12" i="3"/>
  <c r="B7" i="3"/>
  <c r="C5" i="3"/>
  <c r="D5" i="3" s="1"/>
  <c r="C4" i="3"/>
  <c r="B5" i="3"/>
  <c r="B4" i="3"/>
  <c r="D13" i="3" l="1"/>
  <c r="D14" i="3"/>
  <c r="D4" i="3"/>
  <c r="D7" i="3"/>
  <c r="D16" i="3" l="1"/>
</calcChain>
</file>

<file path=xl/sharedStrings.xml><?xml version="1.0" encoding="utf-8"?>
<sst xmlns="http://schemas.openxmlformats.org/spreadsheetml/2006/main" count="1066" uniqueCount="271">
  <si>
    <t>PRASMI STEEL PRIVATE LIMITED</t>
  </si>
  <si>
    <t>PLOT NO. 16, REVENUE SURVEY NO. 270,271</t>
  </si>
  <si>
    <t>VISHAL INDUSTRIAL, KOTDA SANGANI, PIPLANA, RAJKOT,GUJARAT, 360030</t>
  </si>
  <si>
    <t>Purchase Reg. (Product Detail)</t>
  </si>
  <si>
    <t>From Date 01/04/2024 To 31/03/2025</t>
  </si>
  <si>
    <t>Bill Date</t>
  </si>
  <si>
    <t>Bill No</t>
  </si>
  <si>
    <t>C/D</t>
  </si>
  <si>
    <t>Party Name</t>
  </si>
  <si>
    <t>City Name</t>
  </si>
  <si>
    <t>Bill Amount</t>
  </si>
  <si>
    <t>Product Name</t>
  </si>
  <si>
    <t>Product Qty</t>
  </si>
  <si>
    <t>Rate</t>
  </si>
  <si>
    <t>Product Amount</t>
  </si>
  <si>
    <t>GST-292</t>
  </si>
  <si>
    <t>Debit</t>
  </si>
  <si>
    <t>Mahavir Steel</t>
  </si>
  <si>
    <t>Rajkot</t>
  </si>
  <si>
    <t>WASTE &amp; SCRAPE - MS &amp; CAST IRON</t>
  </si>
  <si>
    <t>GST-337</t>
  </si>
  <si>
    <t>GST-365</t>
  </si>
  <si>
    <t>GST-427</t>
  </si>
  <si>
    <t>GST-431</t>
  </si>
  <si>
    <t>GST-432</t>
  </si>
  <si>
    <t>GST-454</t>
  </si>
  <si>
    <t>GST-457</t>
  </si>
  <si>
    <t>GST-472</t>
  </si>
  <si>
    <t>GST-500</t>
  </si>
  <si>
    <t>GST-523</t>
  </si>
  <si>
    <t>GST-524</t>
  </si>
  <si>
    <t>GST-525</t>
  </si>
  <si>
    <t>GST-528</t>
  </si>
  <si>
    <t>Total</t>
  </si>
  <si>
    <t>Sales Reg. (Product Detail)</t>
  </si>
  <si>
    <t>GST/01/2024-25</t>
  </si>
  <si>
    <t>Asian Technocast</t>
  </si>
  <si>
    <t>WASTE &amp; SCRAPE - MS &amp; CAST IRON (COUNTER WEIGHT)</t>
  </si>
  <si>
    <t>GST/02/2024-25</t>
  </si>
  <si>
    <t>GST/03/2024-25</t>
  </si>
  <si>
    <t>Neelam Engineers</t>
  </si>
  <si>
    <t>CAST IRON (COUNTER WEIGHT SCRAP)</t>
  </si>
  <si>
    <t>GST/04/2024-25</t>
  </si>
  <si>
    <t>Madhav Enterprise</t>
  </si>
  <si>
    <t>CAST IRON SCRAP (BHOOKKI)</t>
  </si>
  <si>
    <t>GST/05/2024-25</t>
  </si>
  <si>
    <t>GST/06/2024-25</t>
  </si>
  <si>
    <t>Kiason Metal Cast Llp</t>
  </si>
  <si>
    <t>GST/07/2024-25</t>
  </si>
  <si>
    <t xml:space="preserve">FY 2024-25 </t>
  </si>
  <si>
    <t>FY 2025-26</t>
  </si>
  <si>
    <t xml:space="preserve">PURCHASE </t>
  </si>
  <si>
    <t xml:space="preserve">SALES </t>
  </si>
  <si>
    <t>OPENING BAL.</t>
  </si>
  <si>
    <t>CLOSING BAL.</t>
  </si>
  <si>
    <t>PARTICULAR</t>
  </si>
  <si>
    <t>QTY</t>
  </si>
  <si>
    <t>AMOUNT</t>
  </si>
  <si>
    <t>RATE PER QTY</t>
  </si>
  <si>
    <t>PRODUCTION LOSS</t>
  </si>
  <si>
    <t>From Date 01/04/2025 To 31/03/2026</t>
  </si>
  <si>
    <t>25013</t>
  </si>
  <si>
    <t>NORTH AMERICAN ENERGY LLC</t>
  </si>
  <si>
    <t>BOSTON</t>
  </si>
  <si>
    <t>CAST IRON SCRAP</t>
  </si>
  <si>
    <t>25030</t>
  </si>
  <si>
    <t>25013A</t>
  </si>
  <si>
    <t>25093</t>
  </si>
  <si>
    <t>25088</t>
  </si>
  <si>
    <t>25101</t>
  </si>
  <si>
    <t>25108</t>
  </si>
  <si>
    <t>25116</t>
  </si>
  <si>
    <t>25117</t>
  </si>
  <si>
    <t>25118</t>
  </si>
  <si>
    <t>25119</t>
  </si>
  <si>
    <t>25133</t>
  </si>
  <si>
    <t>25139</t>
  </si>
  <si>
    <t>25148</t>
  </si>
  <si>
    <t>25157</t>
  </si>
  <si>
    <t>GST-434</t>
  </si>
  <si>
    <t>IE/268/25-26</t>
  </si>
  <si>
    <t>Iqra Enterprise</t>
  </si>
  <si>
    <t>Banaskantha</t>
  </si>
  <si>
    <t>M S C I G I SCRAP OF IRON &amp; STEEL</t>
  </si>
  <si>
    <t>HS/2025-26/341</t>
  </si>
  <si>
    <t>Trifecta Metals And Alloys</t>
  </si>
  <si>
    <t>Fatehgarh Sahib</t>
  </si>
  <si>
    <t>CAST IRON HEAVY MELTING SCRAP</t>
  </si>
  <si>
    <t>GT/189</t>
  </si>
  <si>
    <t>Jalaram Traders</t>
  </si>
  <si>
    <t>RJT/25-26/318</t>
  </si>
  <si>
    <t>S Poddar International (india) Private Limited</t>
  </si>
  <si>
    <t>Kachchh</t>
  </si>
  <si>
    <t>RJT/25-26/319</t>
  </si>
  <si>
    <t>GT 53</t>
  </si>
  <si>
    <t>JK IMPEX</t>
  </si>
  <si>
    <t>GT/195</t>
  </si>
  <si>
    <t>RJT/25-26/332</t>
  </si>
  <si>
    <t>RJT/25-26/333</t>
  </si>
  <si>
    <t>PSPL/01/2025-26</t>
  </si>
  <si>
    <t>PSPL/02/2025-26</t>
  </si>
  <si>
    <t>PSPL/03/2025-26</t>
  </si>
  <si>
    <t>PSPL/04/2025-26</t>
  </si>
  <si>
    <t>Kiason Metal Cast Private Limited</t>
  </si>
  <si>
    <t>PSPL/05/2025-26</t>
  </si>
  <si>
    <t>PSPL/06/2025-26</t>
  </si>
  <si>
    <t>PSPL/07/2025-26</t>
  </si>
  <si>
    <t>Mahadev Precision Cast Private Limited</t>
  </si>
  <si>
    <t>PSPL/08/2025-26</t>
  </si>
  <si>
    <t>PSPL/09/2025-26</t>
  </si>
  <si>
    <t>Prushti Technocast</t>
  </si>
  <si>
    <t>PSPL/10/2025-26</t>
  </si>
  <si>
    <t>Brahmani Technocast</t>
  </si>
  <si>
    <t>PSPL/11/2025-26</t>
  </si>
  <si>
    <t>PSPL/12/2025-26</t>
  </si>
  <si>
    <t>Micro Metal</t>
  </si>
  <si>
    <t>PSPL/13/2025-26</t>
  </si>
  <si>
    <t>PSPL/14/2025-26</t>
  </si>
  <si>
    <t>PSPL/15/2025-26</t>
  </si>
  <si>
    <t>PSPL/16/2025-26</t>
  </si>
  <si>
    <t>PSPL/17/2025-26</t>
  </si>
  <si>
    <t>PSPL/18/2025-26</t>
  </si>
  <si>
    <t>PSPL/19/2025-26</t>
  </si>
  <si>
    <t>PSPL/20/2025-26</t>
  </si>
  <si>
    <t>PSPL/21/2025-26</t>
  </si>
  <si>
    <t>Megastic Technocast</t>
  </si>
  <si>
    <t>PSPL/22/2025-26</t>
  </si>
  <si>
    <t>PSPL/23/2025-26</t>
  </si>
  <si>
    <t>PSPL/24/2025-26</t>
  </si>
  <si>
    <t>PSPL/25/2025-26</t>
  </si>
  <si>
    <t>Farmer Diesel Spares</t>
  </si>
  <si>
    <t>CAST IRON (OVERSIZED SCRAP)</t>
  </si>
  <si>
    <t>PSPL/26/2025-26</t>
  </si>
  <si>
    <t>Nk Impex</t>
  </si>
  <si>
    <t>PSPL/27/2025-26</t>
  </si>
  <si>
    <t>PSPL/28/2025-26</t>
  </si>
  <si>
    <t>PSPL/29/2025-26</t>
  </si>
  <si>
    <t>PSPL/30/2025-26</t>
  </si>
  <si>
    <t>PSPL/31/2025-26</t>
  </si>
  <si>
    <t>PSPL/32/2025-26</t>
  </si>
  <si>
    <t>Varudi Krupa Foundry</t>
  </si>
  <si>
    <t>PSPL/33/2025-26</t>
  </si>
  <si>
    <t>PSPL/34/2025-26</t>
  </si>
  <si>
    <t>PSPL/35/2025-26</t>
  </si>
  <si>
    <t>PSPL/36/2025-26</t>
  </si>
  <si>
    <t>PSPL/37/2025-26</t>
  </si>
  <si>
    <t>PSPL/38/2025-26</t>
  </si>
  <si>
    <t>PSPL/39/2025-26</t>
  </si>
  <si>
    <t>Vivek Engineering Works</t>
  </si>
  <si>
    <t>PSPL/40/2025-26</t>
  </si>
  <si>
    <t>PSPL/41/2025-26</t>
  </si>
  <si>
    <t>PSPL/42/2025-26</t>
  </si>
  <si>
    <t>Krupa Metal</t>
  </si>
  <si>
    <t>PSPL/43/2025-26</t>
  </si>
  <si>
    <t>PSPL/44/2025-26</t>
  </si>
  <si>
    <t>PSPL/45/2025-26</t>
  </si>
  <si>
    <t>PSPL/46/2025-26</t>
  </si>
  <si>
    <t>PSPL/47/2025-26</t>
  </si>
  <si>
    <t>PSPL/48/2025-26</t>
  </si>
  <si>
    <t>PSPL/49/2025-26</t>
  </si>
  <si>
    <t>PSPL/50/2025-26</t>
  </si>
  <si>
    <t>PSPL/51/2025-26</t>
  </si>
  <si>
    <t>PSPL/52/2025-26</t>
  </si>
  <si>
    <t>PSPL/53/2025-26</t>
  </si>
  <si>
    <t>PSPL/54/2025-26</t>
  </si>
  <si>
    <t>PSPL/55/2025-26</t>
  </si>
  <si>
    <t>PSPL/56/2025-26</t>
  </si>
  <si>
    <t>PSPL/57/2025-26</t>
  </si>
  <si>
    <t>PSPL/58/2025-26</t>
  </si>
  <si>
    <t>Mahi Metal</t>
  </si>
  <si>
    <t>PSPL/59/2025-26</t>
  </si>
  <si>
    <t>PSPL/60A/2025-26</t>
  </si>
  <si>
    <t>Jay Ashapura Traders</t>
  </si>
  <si>
    <t>PSPL/61/2025-26</t>
  </si>
  <si>
    <t>PSPL/62/2025-26</t>
  </si>
  <si>
    <t>PSPL/63/2025-26</t>
  </si>
  <si>
    <t>PSPL/64/2025-26</t>
  </si>
  <si>
    <t>PSPL/65/2025-26</t>
  </si>
  <si>
    <t>PSPL/66/2025-26</t>
  </si>
  <si>
    <t>PSPL/67/2025-26</t>
  </si>
  <si>
    <t>PSPL/68/2025-26</t>
  </si>
  <si>
    <t>PSPL/69/2025-26</t>
  </si>
  <si>
    <t>PSPL/70/2025-26</t>
  </si>
  <si>
    <t>PSPL/71/2025-26</t>
  </si>
  <si>
    <t>PSPL/72/2025-26</t>
  </si>
  <si>
    <t>PSPL/73/2025-26</t>
  </si>
  <si>
    <t>PSPL/74/2025-26</t>
  </si>
  <si>
    <t>PSPL/75/2025-26</t>
  </si>
  <si>
    <t>PSPL/76/2025-26</t>
  </si>
  <si>
    <t>PSPL/77/2025-26</t>
  </si>
  <si>
    <t>PSPL/78/2025-26</t>
  </si>
  <si>
    <t xml:space="preserve"> CAST IRON (Machinery scrap )</t>
  </si>
  <si>
    <t>PSPL/79/2025-26</t>
  </si>
  <si>
    <t>PSPL/80/2025-26</t>
  </si>
  <si>
    <t>PSPL/81/2025-26</t>
  </si>
  <si>
    <t>PSPL/82/2025-26</t>
  </si>
  <si>
    <t>PSPL/83/2025-26</t>
  </si>
  <si>
    <t>PSPL/84/2025-26</t>
  </si>
  <si>
    <t>PSPL/85/2025-26</t>
  </si>
  <si>
    <t>PSPL/86/2025-26</t>
  </si>
  <si>
    <t>PSPL/87/2025-26</t>
  </si>
  <si>
    <t>Revolving TechnoCast</t>
  </si>
  <si>
    <t>PSPL/88/2025-26</t>
  </si>
  <si>
    <t>PSPL/89/2025-26</t>
  </si>
  <si>
    <t>PSPL/90/2025-26</t>
  </si>
  <si>
    <t>PSPL/91/2025-26</t>
  </si>
  <si>
    <t>PSPL/92/2025-26</t>
  </si>
  <si>
    <t>PSPL/93/2025-26</t>
  </si>
  <si>
    <t xml:space="preserve">   SR-1</t>
  </si>
  <si>
    <t>PSPL/94/2025-26</t>
  </si>
  <si>
    <t>PSPL/95/2025-26</t>
  </si>
  <si>
    <t>PSPL/96/2025-26</t>
  </si>
  <si>
    <t>PSPL/97/2025-26</t>
  </si>
  <si>
    <t>PSPL/98/2025-26</t>
  </si>
  <si>
    <t>PSPL/99/2025-26</t>
  </si>
  <si>
    <t>Cast iron (Rotor-Drum/DiskBreak scrap)</t>
  </si>
  <si>
    <t>PSPL/100/2025-26</t>
  </si>
  <si>
    <t>Metalix Ferrocast</t>
  </si>
  <si>
    <t>PSPL/101/2025-26</t>
  </si>
  <si>
    <t>PSPL/102/2025-26</t>
  </si>
  <si>
    <t>PSPL/103/2025-26</t>
  </si>
  <si>
    <t>PSPL/104/2025-26</t>
  </si>
  <si>
    <t>PSPL/105/2025-26</t>
  </si>
  <si>
    <t>PSPL/106/2025-26</t>
  </si>
  <si>
    <t>PSPL/107/2025-26</t>
  </si>
  <si>
    <t>PSPL/108/2025-26</t>
  </si>
  <si>
    <t>PSPL/109/2025-26</t>
  </si>
  <si>
    <t>Kesar Technocast</t>
  </si>
  <si>
    <t>PSPL/110/2025-26</t>
  </si>
  <si>
    <t>PSPL/111/2025-26</t>
  </si>
  <si>
    <t>PSPL/112/2025-26</t>
  </si>
  <si>
    <t>PSPL/113/2025-26</t>
  </si>
  <si>
    <t>PSPL/114/2025-26</t>
  </si>
  <si>
    <t>PSPL/115/2025-26</t>
  </si>
  <si>
    <t>PSPL/116/2025-26</t>
  </si>
  <si>
    <t>PSPL/117/2025-26</t>
  </si>
  <si>
    <t>Shree Raj Castech Private Limited</t>
  </si>
  <si>
    <t>PSPL/118/2025-26</t>
  </si>
  <si>
    <t>PSPL/119/2025-26</t>
  </si>
  <si>
    <t>PSPL/120/2025-26</t>
  </si>
  <si>
    <t>PSPL/121/2025-26</t>
  </si>
  <si>
    <t>PSPL/122/2025-26</t>
  </si>
  <si>
    <t>PSPL/123/2025-26</t>
  </si>
  <si>
    <t>PSPL/124/2025-26</t>
  </si>
  <si>
    <t>PSPL/125/2025-26</t>
  </si>
  <si>
    <t>PSPL/126/2025-26</t>
  </si>
  <si>
    <t>PSPL/127/2025-26</t>
  </si>
  <si>
    <t>PSPL/128/2025-26</t>
  </si>
  <si>
    <t>PSPL/129/2025-26</t>
  </si>
  <si>
    <t>PSPL/130/2025-26</t>
  </si>
  <si>
    <t>PSPL/131/2025-26</t>
  </si>
  <si>
    <t>Cast Iron (Motor Body Scrap)</t>
  </si>
  <si>
    <t>PSPL/132/2025-26</t>
  </si>
  <si>
    <t>PSPL/133/2025-26</t>
  </si>
  <si>
    <t>PSPL/134/2025-26</t>
  </si>
  <si>
    <t>PSPL/135/2025-26</t>
  </si>
  <si>
    <t>PSPL/136/2025-26</t>
  </si>
  <si>
    <t>PSPL/137/2025-26</t>
  </si>
  <si>
    <t>PSPL/138/2025-26</t>
  </si>
  <si>
    <t>PSPL/139/2025-26</t>
  </si>
  <si>
    <t>PSPL/140/2025-26</t>
  </si>
  <si>
    <t>PSPL/141/2025-26</t>
  </si>
  <si>
    <t>PSPL/142/2025-26</t>
  </si>
  <si>
    <t>PSPL/143/2025-26</t>
  </si>
  <si>
    <t>PSPL/144/2025-26</t>
  </si>
  <si>
    <t>PSPL/145/2025-26</t>
  </si>
  <si>
    <t>PSPL/146/2025-26</t>
  </si>
  <si>
    <t>PSPL/147/2025-26</t>
  </si>
  <si>
    <t>PSPL/148/2025-26</t>
  </si>
  <si>
    <t>Asian Casting</t>
  </si>
  <si>
    <t>PURCHASE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</si>
</sst>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d/mm/yyyy;@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B7DBFF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49" fontId="4" fillId="0" borderId="0" xfId="0" applyNumberFormat="1" applyFont="1" applyAlignment="1">
      <alignment vertical="center"/>
    </xf>
    <xf numFmtId="49" fontId="5" fillId="2" borderId="1" xfId="0" applyNumberFormat="1" applyFont="1" applyFill="1" applyBorder="1" applyAlignment="1">
      <alignment vertical="center"/>
    </xf>
    <xf numFmtId="49" fontId="5" fillId="2" borderId="1" xfId="0" applyNumberFormat="1" applyFont="1" applyFill="1" applyBorder="1" applyAlignment="1">
      <alignment horizontal="right" vertical="center"/>
    </xf>
    <xf numFmtId="164" fontId="4" fillId="0" borderId="0" xfId="0" applyNumberFormat="1" applyFont="1" applyAlignment="1">
      <alignment horizontal="left" vertical="center"/>
    </xf>
    <xf numFmtId="2" fontId="4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2" fontId="5" fillId="2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2" fontId="0" fillId="0" borderId="0" xfId="0" applyNumberFormat="1"/>
    <xf numFmtId="43" fontId="0" fillId="0" borderId="0" xfId="1" applyFont="1"/>
    <xf numFmtId="0" fontId="2" fillId="0" borderId="0" xfId="0" applyFont="1"/>
    <xf numFmtId="2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/>
    <xf numFmtId="43" fontId="1" fillId="0" borderId="2" xfId="1" applyFont="1" applyBorder="1"/>
    <xf numFmtId="165" fontId="0" fillId="0" borderId="0" xfId="0" applyNumberFormat="1"/>
    <xf numFmtId="165" fontId="2" fillId="0" borderId="0" xfId="0" applyNumberFormat="1" applyFont="1"/>
    <xf numFmtId="43" fontId="0" fillId="0" borderId="2" xfId="1" applyFont="1" applyBorder="1"/>
    <xf numFmtId="43" fontId="2" fillId="0" borderId="0" xfId="0" applyNumberFormat="1" applyFont="1"/>
    <xf numFmtId="43" fontId="0" fillId="0" borderId="0" xfId="0" applyNumberFormat="1"/>
    <xf numFmtId="0" fontId="2" fillId="0" borderId="2" xfId="0" applyFont="1" applyBorder="1" applyAlignment="1">
      <alignment horizontal="center"/>
    </xf>
    <xf numFmtId="49" fontId="4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0" fillId="0" borderId="0" xfId="0"/>
    <xf numFmtId="49" fontId="5" fillId="0" borderId="0" xfId="0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788FD-05AC-428F-BC71-8A3447C529F4}">
  <dimension ref="A1:K18"/>
  <sheetViews>
    <sheetView tabSelected="1" workbookViewId="0">
      <selection activeCell="E9" sqref="E9"/>
    </sheetView>
  </sheetViews>
  <sheetFormatPr defaultRowHeight="15" x14ac:dyDescent="0.25"/>
  <cols>
    <col min="1" max="1" width="17.85546875" style="12" bestFit="1" customWidth="1"/>
    <col min="2" max="2" width="12.85546875" style="12" customWidth="1"/>
    <col min="3" max="3" width="16.7109375" style="12" customWidth="1"/>
    <col min="4" max="4" width="16.28515625" style="12" customWidth="1"/>
    <col min="5" max="5" width="12.5703125" bestFit="1" customWidth="1"/>
    <col min="6" max="8" width="11.5703125" bestFit="1" customWidth="1"/>
    <col min="9" max="9" width="10" bestFit="1" customWidth="1"/>
    <col min="10" max="10" width="12.5703125" bestFit="1" customWidth="1"/>
    <col min="11" max="11" width="12" customWidth="1"/>
  </cols>
  <sheetData>
    <row r="1" spans="1:11" x14ac:dyDescent="0.25">
      <c r="A1" s="23" t="s">
        <v>49</v>
      </c>
      <c r="B1" s="23"/>
      <c r="C1" s="23"/>
      <c r="D1" s="23"/>
    </row>
    <row r="2" spans="1:11" x14ac:dyDescent="0.25">
      <c r="A2" s="15" t="s">
        <v>55</v>
      </c>
      <c r="B2" s="15" t="s">
        <v>56</v>
      </c>
      <c r="C2" s="15" t="s">
        <v>57</v>
      </c>
      <c r="D2" s="15" t="s">
        <v>58</v>
      </c>
    </row>
    <row r="3" spans="1:11" x14ac:dyDescent="0.25">
      <c r="A3" s="16" t="s">
        <v>53</v>
      </c>
      <c r="B3" s="20">
        <v>0</v>
      </c>
      <c r="C3" s="20"/>
      <c r="D3" s="20"/>
    </row>
    <row r="4" spans="1:11" x14ac:dyDescent="0.25">
      <c r="A4" s="16" t="s">
        <v>51</v>
      </c>
      <c r="B4" s="20">
        <f>+'FY 24-25 PURCHASE'!H22</f>
        <v>250285</v>
      </c>
      <c r="C4" s="20">
        <f>+'FY 24-25 PURCHASE'!J22</f>
        <v>8736565</v>
      </c>
      <c r="D4" s="17">
        <f>+C4/B4</f>
        <v>34.906466628044029</v>
      </c>
    </row>
    <row r="5" spans="1:11" x14ac:dyDescent="0.25">
      <c r="A5" s="16" t="s">
        <v>52</v>
      </c>
      <c r="B5" s="20">
        <f>+'FY 24-25 SALES'!H15</f>
        <v>60310</v>
      </c>
      <c r="C5" s="20">
        <f>+'FY 24-25 SALES'!J15</f>
        <v>2224642.5</v>
      </c>
      <c r="D5" s="17">
        <f>+C5/B5</f>
        <v>36.886793234952741</v>
      </c>
    </row>
    <row r="6" spans="1:11" x14ac:dyDescent="0.25">
      <c r="A6" s="16" t="s">
        <v>59</v>
      </c>
      <c r="B6" s="20">
        <v>2412</v>
      </c>
      <c r="C6" s="20"/>
      <c r="D6" s="17"/>
    </row>
    <row r="7" spans="1:11" x14ac:dyDescent="0.25">
      <c r="A7" s="16" t="s">
        <v>54</v>
      </c>
      <c r="B7" s="20">
        <f>+B3+B4-B5-B6</f>
        <v>187563</v>
      </c>
      <c r="C7" s="20">
        <v>6541295</v>
      </c>
      <c r="D7" s="17">
        <f>+C7/B7</f>
        <v>34.87518860329596</v>
      </c>
    </row>
    <row r="8" spans="1:11" x14ac:dyDescent="0.25">
      <c r="B8" s="14"/>
    </row>
    <row r="10" spans="1:11" x14ac:dyDescent="0.25">
      <c r="A10" s="23" t="s">
        <v>50</v>
      </c>
      <c r="B10" s="23"/>
      <c r="C10" s="23"/>
      <c r="D10" s="23"/>
    </row>
    <row r="11" spans="1:11" x14ac:dyDescent="0.25">
      <c r="A11" s="15" t="s">
        <v>55</v>
      </c>
      <c r="B11" s="15" t="s">
        <v>56</v>
      </c>
      <c r="C11" s="15" t="s">
        <v>57</v>
      </c>
      <c r="D11" s="15" t="s">
        <v>58</v>
      </c>
    </row>
    <row r="12" spans="1:11" x14ac:dyDescent="0.25">
      <c r="A12" s="16" t="s">
        <v>53</v>
      </c>
      <c r="B12" s="20">
        <f>+B7</f>
        <v>187563</v>
      </c>
      <c r="C12" s="20">
        <f>+C7</f>
        <v>6541295</v>
      </c>
      <c r="D12" s="17">
        <f>+C12/B12</f>
        <v>34.87518860329596</v>
      </c>
    </row>
    <row r="13" spans="1:11" x14ac:dyDescent="0.25">
      <c r="A13" s="16" t="s">
        <v>51</v>
      </c>
      <c r="B13" s="20">
        <f>+'FY 2025-26 PURCHASE'!H41</f>
        <v>1152808</v>
      </c>
      <c r="C13" s="20">
        <f>+'FY 2025-26 PURCHASE'!J41</f>
        <v>37033171.710000001</v>
      </c>
      <c r="D13" s="17">
        <f>+C13/B13</f>
        <v>32.12431880243718</v>
      </c>
      <c r="E13" s="11"/>
      <c r="F13" s="11"/>
      <c r="G13" s="11"/>
      <c r="H13" s="11"/>
      <c r="I13" s="11"/>
      <c r="J13" s="11"/>
    </row>
    <row r="14" spans="1:11" x14ac:dyDescent="0.25">
      <c r="A14" s="16" t="s">
        <v>52</v>
      </c>
      <c r="B14" s="20">
        <f>+'FY 2025-26 SALES'!H164-2176</f>
        <v>1225508</v>
      </c>
      <c r="C14" s="20">
        <f>+'FY 2025-26 SALES'!J164</f>
        <v>43826434</v>
      </c>
      <c r="D14" s="17">
        <f>+C14/B14</f>
        <v>35.761850595834545</v>
      </c>
      <c r="E14" s="11"/>
      <c r="F14" s="11"/>
      <c r="G14" s="11"/>
      <c r="H14" s="11"/>
      <c r="I14" s="11"/>
      <c r="J14" s="11"/>
      <c r="K14" s="22"/>
    </row>
    <row r="15" spans="1:11" x14ac:dyDescent="0.25">
      <c r="A15" s="16" t="s">
        <v>59</v>
      </c>
      <c r="B15" s="20"/>
      <c r="C15" s="20"/>
      <c r="D15" s="20"/>
    </row>
    <row r="16" spans="1:11" x14ac:dyDescent="0.25">
      <c r="A16" s="16" t="s">
        <v>54</v>
      </c>
      <c r="B16" s="20">
        <f>+B12+B13-B14-B15</f>
        <v>114863</v>
      </c>
      <c r="C16" s="20">
        <v>3908623</v>
      </c>
      <c r="D16" s="17">
        <f>+C16/B16</f>
        <v>34.028564463752467</v>
      </c>
    </row>
    <row r="17" spans="2:4" x14ac:dyDescent="0.25">
      <c r="B17" s="11"/>
      <c r="C17"/>
      <c r="D17"/>
    </row>
    <row r="18" spans="2:4" x14ac:dyDescent="0.25">
      <c r="B18" s="21"/>
    </row>
  </sheetData>
  <mergeCells count="2">
    <mergeCell ref="A1:D1"/>
    <mergeCell ref="A10:D10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A329-410E-4FC1-9438-EE011021F687}">
  <dimension ref="A1:J164"/>
  <sheetViews>
    <sheetView topLeftCell="A140" workbookViewId="0">
      <selection activeCell="J164" sqref="J164"/>
    </sheetView>
  </sheetViews>
  <sheetFormatPr defaultRowHeight="15" x14ac:dyDescent="0.25"/>
  <cols>
    <col min="1" max="1" width="10.42578125" bestFit="1" customWidth="1"/>
    <col min="2" max="2" width="16.42578125" bestFit="1" customWidth="1"/>
    <col min="3" max="3" width="5.28515625" bestFit="1" customWidth="1"/>
    <col min="4" max="4" width="34" bestFit="1" customWidth="1"/>
    <col min="5" max="5" width="10.42578125" bestFit="1" customWidth="1"/>
    <col min="6" max="6" width="13.140625" bestFit="1" customWidth="1"/>
    <col min="7" max="7" width="35.140625" bestFit="1" customWidth="1"/>
    <col min="8" max="8" width="13.140625" bestFit="1" customWidth="1"/>
    <col min="9" max="9" width="5.5703125" bestFit="1" customWidth="1"/>
    <col min="10" max="10" width="16" bestFit="1" customWidth="1"/>
  </cols>
  <sheetData>
    <row r="1" spans="1:10" ht="18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2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</row>
    <row r="3" spans="1:10" x14ac:dyDescent="0.25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</row>
    <row r="4" spans="1:10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 x14ac:dyDescent="0.25">
      <c r="A5" s="28" t="s">
        <v>34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x14ac:dyDescent="0.25">
      <c r="A6" s="24" t="s">
        <v>60</v>
      </c>
      <c r="B6" s="24"/>
      <c r="C6" s="24"/>
      <c r="D6" s="24"/>
      <c r="E6" s="24"/>
      <c r="F6" s="24"/>
      <c r="G6" s="24"/>
      <c r="H6" s="24"/>
      <c r="I6" s="24"/>
      <c r="J6" s="24"/>
    </row>
    <row r="7" spans="1:10" x14ac:dyDescent="0.2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3" t="s">
        <v>10</v>
      </c>
      <c r="G7" s="2" t="s">
        <v>11</v>
      </c>
      <c r="H7" s="3" t="s">
        <v>12</v>
      </c>
      <c r="I7" s="3" t="s">
        <v>13</v>
      </c>
      <c r="J7" s="3" t="s">
        <v>14</v>
      </c>
    </row>
    <row r="8" spans="1:10" x14ac:dyDescent="0.25">
      <c r="A8" s="4">
        <v>45748</v>
      </c>
      <c r="B8" s="1" t="s">
        <v>99</v>
      </c>
      <c r="C8" s="1" t="s">
        <v>16</v>
      </c>
      <c r="D8" s="1" t="s">
        <v>47</v>
      </c>
      <c r="E8" s="1" t="s">
        <v>18</v>
      </c>
      <c r="F8" s="5">
        <v>330537</v>
      </c>
      <c r="G8" s="1" t="s">
        <v>41</v>
      </c>
      <c r="H8" s="6">
        <v>7530</v>
      </c>
      <c r="I8" s="5">
        <v>37.200000000000003</v>
      </c>
      <c r="J8" s="5">
        <v>280116</v>
      </c>
    </row>
    <row r="9" spans="1:10" x14ac:dyDescent="0.25">
      <c r="A9" s="4">
        <v>45771</v>
      </c>
      <c r="B9" s="1" t="s">
        <v>100</v>
      </c>
      <c r="C9" s="1" t="s">
        <v>16</v>
      </c>
      <c r="D9" s="1" t="s">
        <v>47</v>
      </c>
      <c r="E9" s="1" t="s">
        <v>18</v>
      </c>
      <c r="F9" s="5">
        <v>380800</v>
      </c>
      <c r="G9" s="1" t="s">
        <v>41</v>
      </c>
      <c r="H9" s="6">
        <v>8560</v>
      </c>
      <c r="I9" s="5">
        <v>37.700000000000003</v>
      </c>
      <c r="J9" s="5">
        <v>322712</v>
      </c>
    </row>
    <row r="10" spans="1:10" x14ac:dyDescent="0.25">
      <c r="A10" s="4">
        <v>45778</v>
      </c>
      <c r="B10" s="1" t="s">
        <v>101</v>
      </c>
      <c r="C10" s="1" t="s">
        <v>16</v>
      </c>
      <c r="D10" s="1" t="s">
        <v>43</v>
      </c>
      <c r="E10" s="1" t="s">
        <v>18</v>
      </c>
      <c r="F10" s="5">
        <v>263565</v>
      </c>
      <c r="G10" s="1" t="s">
        <v>44</v>
      </c>
      <c r="H10" s="6">
        <v>6980</v>
      </c>
      <c r="I10" s="5">
        <v>32</v>
      </c>
      <c r="J10" s="5">
        <v>223360</v>
      </c>
    </row>
    <row r="11" spans="1:10" x14ac:dyDescent="0.25">
      <c r="A11" s="4">
        <v>45780</v>
      </c>
      <c r="B11" s="1" t="s">
        <v>102</v>
      </c>
      <c r="C11" s="1" t="s">
        <v>16</v>
      </c>
      <c r="D11" s="1" t="s">
        <v>103</v>
      </c>
      <c r="E11" s="1" t="s">
        <v>18</v>
      </c>
      <c r="F11" s="5">
        <v>470038</v>
      </c>
      <c r="G11" s="1" t="s">
        <v>41</v>
      </c>
      <c r="H11" s="6">
        <v>10580</v>
      </c>
      <c r="I11" s="5">
        <v>37.65</v>
      </c>
      <c r="J11" s="5">
        <v>398337</v>
      </c>
    </row>
    <row r="12" spans="1:10" x14ac:dyDescent="0.25">
      <c r="A12" s="4">
        <v>45784</v>
      </c>
      <c r="B12" s="1" t="s">
        <v>104</v>
      </c>
      <c r="C12" s="1" t="s">
        <v>16</v>
      </c>
      <c r="D12" s="1" t="s">
        <v>103</v>
      </c>
      <c r="E12" s="1" t="s">
        <v>18</v>
      </c>
      <c r="F12" s="5">
        <v>330537</v>
      </c>
      <c r="G12" s="1" t="s">
        <v>41</v>
      </c>
      <c r="H12" s="6">
        <v>7530</v>
      </c>
      <c r="I12" s="5">
        <v>37.200000000000003</v>
      </c>
      <c r="J12" s="5">
        <v>280116</v>
      </c>
    </row>
    <row r="13" spans="1:10" x14ac:dyDescent="0.25">
      <c r="A13" s="4">
        <v>45785</v>
      </c>
      <c r="B13" s="1" t="s">
        <v>105</v>
      </c>
      <c r="C13" s="1" t="s">
        <v>16</v>
      </c>
      <c r="D13" s="1" t="s">
        <v>43</v>
      </c>
      <c r="E13" s="1" t="s">
        <v>18</v>
      </c>
      <c r="F13" s="5">
        <v>66533</v>
      </c>
      <c r="G13" s="1" t="s">
        <v>44</v>
      </c>
      <c r="H13" s="6">
        <v>1762</v>
      </c>
      <c r="I13" s="5">
        <v>32</v>
      </c>
      <c r="J13" s="5">
        <v>56384</v>
      </c>
    </row>
    <row r="14" spans="1:10" x14ac:dyDescent="0.25">
      <c r="A14" s="4">
        <v>45787</v>
      </c>
      <c r="B14" s="1" t="s">
        <v>106</v>
      </c>
      <c r="C14" s="1" t="s">
        <v>16</v>
      </c>
      <c r="D14" s="1" t="s">
        <v>107</v>
      </c>
      <c r="E14" s="1" t="s">
        <v>18</v>
      </c>
      <c r="F14" s="5">
        <v>412068</v>
      </c>
      <c r="G14" s="1" t="s">
        <v>41</v>
      </c>
      <c r="H14" s="6">
        <v>9400</v>
      </c>
      <c r="I14" s="5">
        <v>37.15</v>
      </c>
      <c r="J14" s="5">
        <v>349210</v>
      </c>
    </row>
    <row r="15" spans="1:10" x14ac:dyDescent="0.25">
      <c r="A15" s="4">
        <v>45792</v>
      </c>
      <c r="B15" s="1" t="s">
        <v>108</v>
      </c>
      <c r="C15" s="1" t="s">
        <v>16</v>
      </c>
      <c r="D15" s="1" t="s">
        <v>103</v>
      </c>
      <c r="E15" s="1" t="s">
        <v>18</v>
      </c>
      <c r="F15" s="5">
        <v>413061</v>
      </c>
      <c r="G15" s="1" t="s">
        <v>41</v>
      </c>
      <c r="H15" s="6">
        <v>9410</v>
      </c>
      <c r="I15" s="5">
        <v>37.200000000000003</v>
      </c>
      <c r="J15" s="5">
        <v>350052</v>
      </c>
    </row>
    <row r="16" spans="1:10" x14ac:dyDescent="0.25">
      <c r="A16" s="4">
        <v>45799</v>
      </c>
      <c r="B16" s="1" t="s">
        <v>109</v>
      </c>
      <c r="C16" s="1" t="s">
        <v>16</v>
      </c>
      <c r="D16" s="1" t="s">
        <v>110</v>
      </c>
      <c r="E16" s="1" t="s">
        <v>18</v>
      </c>
      <c r="F16" s="5">
        <v>467053</v>
      </c>
      <c r="G16" s="1" t="s">
        <v>41</v>
      </c>
      <c r="H16" s="6">
        <v>10640</v>
      </c>
      <c r="I16" s="5">
        <v>37.200000000000003</v>
      </c>
      <c r="J16" s="5">
        <v>395808</v>
      </c>
    </row>
    <row r="17" spans="1:10" x14ac:dyDescent="0.25">
      <c r="A17" s="4">
        <v>45802</v>
      </c>
      <c r="B17" s="1" t="s">
        <v>111</v>
      </c>
      <c r="C17" s="1" t="s">
        <v>16</v>
      </c>
      <c r="D17" s="1" t="s">
        <v>112</v>
      </c>
      <c r="E17" s="1" t="s">
        <v>18</v>
      </c>
      <c r="F17" s="5">
        <v>367178</v>
      </c>
      <c r="G17" s="1" t="s">
        <v>41</v>
      </c>
      <c r="H17" s="6">
        <v>8320</v>
      </c>
      <c r="I17" s="5">
        <v>37.4</v>
      </c>
      <c r="J17" s="5">
        <v>311168</v>
      </c>
    </row>
    <row r="18" spans="1:10" x14ac:dyDescent="0.25">
      <c r="A18" s="4">
        <v>45807</v>
      </c>
      <c r="B18" s="1" t="s">
        <v>113</v>
      </c>
      <c r="C18" s="1" t="s">
        <v>16</v>
      </c>
      <c r="D18" s="1" t="s">
        <v>103</v>
      </c>
      <c r="E18" s="1" t="s">
        <v>18</v>
      </c>
      <c r="F18" s="5">
        <v>322636</v>
      </c>
      <c r="G18" s="1" t="s">
        <v>41</v>
      </c>
      <c r="H18" s="6">
        <v>7350</v>
      </c>
      <c r="I18" s="5">
        <v>37.200000000000003</v>
      </c>
      <c r="J18" s="5">
        <v>273420</v>
      </c>
    </row>
    <row r="19" spans="1:10" x14ac:dyDescent="0.25">
      <c r="A19" s="4">
        <v>45807</v>
      </c>
      <c r="B19" s="1" t="s">
        <v>114</v>
      </c>
      <c r="C19" s="1" t="s">
        <v>16</v>
      </c>
      <c r="D19" s="1" t="s">
        <v>115</v>
      </c>
      <c r="E19" s="1" t="s">
        <v>18</v>
      </c>
      <c r="F19" s="5">
        <v>357752</v>
      </c>
      <c r="G19" s="1" t="s">
        <v>41</v>
      </c>
      <c r="H19" s="6">
        <v>8150</v>
      </c>
      <c r="I19" s="5">
        <v>37.200000000000003</v>
      </c>
      <c r="J19" s="5">
        <v>303180</v>
      </c>
    </row>
    <row r="20" spans="1:10" x14ac:dyDescent="0.25">
      <c r="A20" s="4">
        <v>45811</v>
      </c>
      <c r="B20" s="1" t="s">
        <v>116</v>
      </c>
      <c r="C20" s="1" t="s">
        <v>16</v>
      </c>
      <c r="D20" s="1" t="s">
        <v>110</v>
      </c>
      <c r="E20" s="1" t="s">
        <v>18</v>
      </c>
      <c r="F20" s="5">
        <v>341072</v>
      </c>
      <c r="G20" s="1" t="s">
        <v>41</v>
      </c>
      <c r="H20" s="6">
        <v>7770</v>
      </c>
      <c r="I20" s="5">
        <v>37.200000000000003</v>
      </c>
      <c r="J20" s="5">
        <v>289044</v>
      </c>
    </row>
    <row r="21" spans="1:10" x14ac:dyDescent="0.25">
      <c r="A21" s="4">
        <v>45815</v>
      </c>
      <c r="B21" s="1" t="s">
        <v>117</v>
      </c>
      <c r="C21" s="1" t="s">
        <v>16</v>
      </c>
      <c r="D21" s="1" t="s">
        <v>103</v>
      </c>
      <c r="E21" s="1" t="s">
        <v>18</v>
      </c>
      <c r="F21" s="5">
        <v>382620</v>
      </c>
      <c r="G21" s="1" t="s">
        <v>41</v>
      </c>
      <c r="H21" s="6">
        <v>8740</v>
      </c>
      <c r="I21" s="5">
        <v>37.1</v>
      </c>
      <c r="J21" s="5">
        <v>324254</v>
      </c>
    </row>
    <row r="22" spans="1:10" x14ac:dyDescent="0.25">
      <c r="A22" s="4">
        <v>45822</v>
      </c>
      <c r="B22" s="1" t="s">
        <v>118</v>
      </c>
      <c r="C22" s="1" t="s">
        <v>16</v>
      </c>
      <c r="D22" s="1" t="s">
        <v>103</v>
      </c>
      <c r="E22" s="1" t="s">
        <v>18</v>
      </c>
      <c r="F22" s="5">
        <v>412389</v>
      </c>
      <c r="G22" s="1" t="s">
        <v>41</v>
      </c>
      <c r="H22" s="6">
        <v>9420</v>
      </c>
      <c r="I22" s="5">
        <v>37.1</v>
      </c>
      <c r="J22" s="5">
        <v>349482</v>
      </c>
    </row>
    <row r="23" spans="1:10" x14ac:dyDescent="0.25">
      <c r="A23" s="4">
        <v>45824</v>
      </c>
      <c r="B23" s="1" t="s">
        <v>119</v>
      </c>
      <c r="C23" s="1" t="s">
        <v>16</v>
      </c>
      <c r="D23" s="1" t="s">
        <v>110</v>
      </c>
      <c r="E23" s="1" t="s">
        <v>18</v>
      </c>
      <c r="F23" s="5">
        <v>56187</v>
      </c>
      <c r="G23" s="1" t="s">
        <v>41</v>
      </c>
      <c r="H23" s="6">
        <v>1280</v>
      </c>
      <c r="I23" s="5">
        <v>37.200000000000003</v>
      </c>
      <c r="J23" s="5">
        <v>47616</v>
      </c>
    </row>
    <row r="24" spans="1:10" x14ac:dyDescent="0.25">
      <c r="A24" s="4">
        <v>45831</v>
      </c>
      <c r="B24" s="1" t="s">
        <v>120</v>
      </c>
      <c r="C24" s="1" t="s">
        <v>16</v>
      </c>
      <c r="D24" s="1" t="s">
        <v>115</v>
      </c>
      <c r="E24" s="1" t="s">
        <v>18</v>
      </c>
      <c r="F24" s="5">
        <v>412827</v>
      </c>
      <c r="G24" s="1" t="s">
        <v>41</v>
      </c>
      <c r="H24" s="6">
        <v>9430</v>
      </c>
      <c r="I24" s="5">
        <v>37.1</v>
      </c>
      <c r="J24" s="5">
        <v>349853</v>
      </c>
    </row>
    <row r="25" spans="1:10" x14ac:dyDescent="0.25">
      <c r="A25" s="4">
        <v>45834</v>
      </c>
      <c r="B25" s="1" t="s">
        <v>121</v>
      </c>
      <c r="C25" s="1" t="s">
        <v>16</v>
      </c>
      <c r="D25" s="1" t="s">
        <v>103</v>
      </c>
      <c r="E25" s="1" t="s">
        <v>18</v>
      </c>
      <c r="F25" s="5">
        <v>335668</v>
      </c>
      <c r="G25" s="1" t="s">
        <v>41</v>
      </c>
      <c r="H25" s="6">
        <v>7730</v>
      </c>
      <c r="I25" s="5">
        <v>36.799999999999997</v>
      </c>
      <c r="J25" s="5">
        <v>284464</v>
      </c>
    </row>
    <row r="26" spans="1:10" x14ac:dyDescent="0.25">
      <c r="A26" s="4">
        <v>45841</v>
      </c>
      <c r="B26" s="1" t="s">
        <v>122</v>
      </c>
      <c r="C26" s="1" t="s">
        <v>16</v>
      </c>
      <c r="D26" s="1" t="s">
        <v>110</v>
      </c>
      <c r="E26" s="1" t="s">
        <v>18</v>
      </c>
      <c r="F26" s="5">
        <v>377366</v>
      </c>
      <c r="G26" s="1" t="s">
        <v>41</v>
      </c>
      <c r="H26" s="6">
        <v>8620</v>
      </c>
      <c r="I26" s="5">
        <v>37.1</v>
      </c>
      <c r="J26" s="5">
        <v>319802</v>
      </c>
    </row>
    <row r="27" spans="1:10" x14ac:dyDescent="0.25">
      <c r="A27" s="4">
        <v>45842</v>
      </c>
      <c r="B27" s="1" t="s">
        <v>123</v>
      </c>
      <c r="C27" s="1" t="s">
        <v>16</v>
      </c>
      <c r="D27" s="1" t="s">
        <v>103</v>
      </c>
      <c r="E27" s="1" t="s">
        <v>18</v>
      </c>
      <c r="F27" s="5">
        <v>403843</v>
      </c>
      <c r="G27" s="1" t="s">
        <v>41</v>
      </c>
      <c r="H27" s="6">
        <v>9300</v>
      </c>
      <c r="I27" s="5">
        <v>36.799999999999997</v>
      </c>
      <c r="J27" s="5">
        <v>342240</v>
      </c>
    </row>
    <row r="28" spans="1:10" x14ac:dyDescent="0.25">
      <c r="A28" s="4">
        <v>45845</v>
      </c>
      <c r="B28" s="1" t="s">
        <v>124</v>
      </c>
      <c r="C28" s="1" t="s">
        <v>16</v>
      </c>
      <c r="D28" s="1" t="s">
        <v>125</v>
      </c>
      <c r="E28" s="1" t="s">
        <v>18</v>
      </c>
      <c r="F28" s="5">
        <v>381744</v>
      </c>
      <c r="G28" s="1" t="s">
        <v>41</v>
      </c>
      <c r="H28" s="6">
        <v>8720</v>
      </c>
      <c r="I28" s="5">
        <v>37.1</v>
      </c>
      <c r="J28" s="5">
        <v>323512</v>
      </c>
    </row>
    <row r="29" spans="1:10" x14ac:dyDescent="0.25">
      <c r="A29" s="4">
        <v>45850</v>
      </c>
      <c r="B29" s="1" t="s">
        <v>126</v>
      </c>
      <c r="C29" s="1" t="s">
        <v>16</v>
      </c>
      <c r="D29" s="1" t="s">
        <v>103</v>
      </c>
      <c r="E29" s="1" t="s">
        <v>18</v>
      </c>
      <c r="F29" s="5">
        <v>391684</v>
      </c>
      <c r="G29" s="1" t="s">
        <v>41</v>
      </c>
      <c r="H29" s="6">
        <v>9020</v>
      </c>
      <c r="I29" s="5">
        <v>36.799999999999997</v>
      </c>
      <c r="J29" s="5">
        <v>331936</v>
      </c>
    </row>
    <row r="30" spans="1:10" x14ac:dyDescent="0.25">
      <c r="A30" s="4">
        <v>45853</v>
      </c>
      <c r="B30" s="1" t="s">
        <v>127</v>
      </c>
      <c r="C30" s="1" t="s">
        <v>16</v>
      </c>
      <c r="D30" s="1" t="s">
        <v>125</v>
      </c>
      <c r="E30" s="1" t="s">
        <v>18</v>
      </c>
      <c r="F30" s="5">
        <v>383335</v>
      </c>
      <c r="G30" s="1" t="s">
        <v>41</v>
      </c>
      <c r="H30" s="6">
        <v>8780</v>
      </c>
      <c r="I30" s="5">
        <v>37</v>
      </c>
      <c r="J30" s="5">
        <v>324860</v>
      </c>
    </row>
    <row r="31" spans="1:10" x14ac:dyDescent="0.25">
      <c r="A31" s="4">
        <v>45855</v>
      </c>
      <c r="B31" s="1" t="s">
        <v>128</v>
      </c>
      <c r="C31" s="1" t="s">
        <v>16</v>
      </c>
      <c r="D31" s="1" t="s">
        <v>103</v>
      </c>
      <c r="E31" s="1" t="s">
        <v>18</v>
      </c>
      <c r="F31" s="5">
        <v>449438</v>
      </c>
      <c r="G31" s="1" t="s">
        <v>41</v>
      </c>
      <c r="H31" s="6">
        <v>10350</v>
      </c>
      <c r="I31" s="5">
        <v>36.799999999999997</v>
      </c>
      <c r="J31" s="5">
        <v>380880</v>
      </c>
    </row>
    <row r="32" spans="1:10" x14ac:dyDescent="0.25">
      <c r="A32" s="4">
        <v>45858</v>
      </c>
      <c r="B32" s="1" t="s">
        <v>129</v>
      </c>
      <c r="C32" s="1" t="s">
        <v>16</v>
      </c>
      <c r="D32" s="1" t="s">
        <v>130</v>
      </c>
      <c r="E32" s="1" t="s">
        <v>18</v>
      </c>
      <c r="F32" s="5">
        <v>841066</v>
      </c>
      <c r="G32" s="1" t="s">
        <v>131</v>
      </c>
      <c r="H32" s="6">
        <v>22274</v>
      </c>
      <c r="I32" s="5">
        <v>32</v>
      </c>
      <c r="J32" s="5">
        <v>712768</v>
      </c>
    </row>
    <row r="33" spans="1:10" x14ac:dyDescent="0.25">
      <c r="A33" s="4">
        <v>45858</v>
      </c>
      <c r="B33" s="1" t="s">
        <v>132</v>
      </c>
      <c r="C33" s="1" t="s">
        <v>16</v>
      </c>
      <c r="D33" s="1" t="s">
        <v>133</v>
      </c>
      <c r="E33" s="1" t="s">
        <v>18</v>
      </c>
      <c r="F33" s="5">
        <v>875741</v>
      </c>
      <c r="G33" s="1" t="s">
        <v>131</v>
      </c>
      <c r="H33" s="6">
        <v>23265</v>
      </c>
      <c r="I33" s="5">
        <v>31.9</v>
      </c>
      <c r="J33" s="5">
        <v>742153.5</v>
      </c>
    </row>
    <row r="34" spans="1:10" x14ac:dyDescent="0.25">
      <c r="A34" s="4">
        <v>45858</v>
      </c>
      <c r="B34" s="1" t="s">
        <v>134</v>
      </c>
      <c r="C34" s="1" t="s">
        <v>16</v>
      </c>
      <c r="D34" s="1" t="s">
        <v>133</v>
      </c>
      <c r="E34" s="1" t="s">
        <v>18</v>
      </c>
      <c r="F34" s="5">
        <v>826807</v>
      </c>
      <c r="G34" s="1" t="s">
        <v>131</v>
      </c>
      <c r="H34" s="6">
        <v>21965</v>
      </c>
      <c r="I34" s="5">
        <v>31.9</v>
      </c>
      <c r="J34" s="5">
        <v>700683.5</v>
      </c>
    </row>
    <row r="35" spans="1:10" x14ac:dyDescent="0.25">
      <c r="A35" s="4">
        <v>45858</v>
      </c>
      <c r="B35" s="1" t="s">
        <v>135</v>
      </c>
      <c r="C35" s="1" t="s">
        <v>16</v>
      </c>
      <c r="D35" s="1" t="s">
        <v>133</v>
      </c>
      <c r="E35" s="1" t="s">
        <v>18</v>
      </c>
      <c r="F35" s="5">
        <v>2259</v>
      </c>
      <c r="G35" s="1" t="s">
        <v>131</v>
      </c>
      <c r="H35" s="6">
        <v>60</v>
      </c>
      <c r="I35" s="5">
        <v>31.9</v>
      </c>
      <c r="J35" s="5">
        <v>1914</v>
      </c>
    </row>
    <row r="36" spans="1:10" x14ac:dyDescent="0.25">
      <c r="A36" s="4">
        <v>45858</v>
      </c>
      <c r="B36" s="1" t="s">
        <v>136</v>
      </c>
      <c r="C36" s="1" t="s">
        <v>16</v>
      </c>
      <c r="D36" s="1" t="s">
        <v>133</v>
      </c>
      <c r="E36" s="1" t="s">
        <v>18</v>
      </c>
      <c r="F36" s="5">
        <v>3011</v>
      </c>
      <c r="G36" s="1" t="s">
        <v>131</v>
      </c>
      <c r="H36" s="6">
        <v>80</v>
      </c>
      <c r="I36" s="5">
        <v>31.9</v>
      </c>
      <c r="J36" s="5">
        <v>2552</v>
      </c>
    </row>
    <row r="37" spans="1:10" x14ac:dyDescent="0.25">
      <c r="A37" s="4">
        <v>45858</v>
      </c>
      <c r="B37" s="1" t="s">
        <v>137</v>
      </c>
      <c r="C37" s="1" t="s">
        <v>16</v>
      </c>
      <c r="D37" s="1" t="s">
        <v>130</v>
      </c>
      <c r="E37" s="1" t="s">
        <v>18</v>
      </c>
      <c r="F37" s="5">
        <v>1359</v>
      </c>
      <c r="G37" s="1" t="s">
        <v>131</v>
      </c>
      <c r="H37" s="6">
        <v>36</v>
      </c>
      <c r="I37" s="5">
        <v>32</v>
      </c>
      <c r="J37" s="5">
        <v>1152</v>
      </c>
    </row>
    <row r="38" spans="1:10" x14ac:dyDescent="0.25">
      <c r="A38" s="4">
        <v>45860</v>
      </c>
      <c r="B38" s="1" t="s">
        <v>138</v>
      </c>
      <c r="C38" s="1" t="s">
        <v>16</v>
      </c>
      <c r="D38" s="1" t="s">
        <v>103</v>
      </c>
      <c r="E38" s="1" t="s">
        <v>18</v>
      </c>
      <c r="F38" s="5">
        <v>291644</v>
      </c>
      <c r="G38" s="1" t="s">
        <v>41</v>
      </c>
      <c r="H38" s="6">
        <v>6790</v>
      </c>
      <c r="I38" s="5">
        <v>36.4</v>
      </c>
      <c r="J38" s="5">
        <v>247156</v>
      </c>
    </row>
    <row r="39" spans="1:10" x14ac:dyDescent="0.25">
      <c r="A39" s="4">
        <v>45862</v>
      </c>
      <c r="B39" s="1" t="s">
        <v>139</v>
      </c>
      <c r="C39" s="1" t="s">
        <v>16</v>
      </c>
      <c r="D39" s="1" t="s">
        <v>140</v>
      </c>
      <c r="E39" s="1" t="s">
        <v>18</v>
      </c>
      <c r="F39" s="5">
        <v>310118</v>
      </c>
      <c r="G39" s="1" t="s">
        <v>41</v>
      </c>
      <c r="H39" s="6">
        <v>7240</v>
      </c>
      <c r="I39" s="5">
        <v>36.299999999999997</v>
      </c>
      <c r="J39" s="5">
        <v>262812</v>
      </c>
    </row>
    <row r="40" spans="1:10" x14ac:dyDescent="0.25">
      <c r="A40" s="4">
        <v>45863</v>
      </c>
      <c r="B40" s="1" t="s">
        <v>141</v>
      </c>
      <c r="C40" s="1" t="s">
        <v>16</v>
      </c>
      <c r="D40" s="1" t="s">
        <v>103</v>
      </c>
      <c r="E40" s="1" t="s">
        <v>18</v>
      </c>
      <c r="F40" s="5">
        <v>307107</v>
      </c>
      <c r="G40" s="1" t="s">
        <v>41</v>
      </c>
      <c r="H40" s="6">
        <v>7150</v>
      </c>
      <c r="I40" s="5">
        <v>36.4</v>
      </c>
      <c r="J40" s="5">
        <v>260260</v>
      </c>
    </row>
    <row r="41" spans="1:10" x14ac:dyDescent="0.25">
      <c r="A41" s="4">
        <v>45866</v>
      </c>
      <c r="B41" s="1" t="s">
        <v>142</v>
      </c>
      <c r="C41" s="1" t="s">
        <v>16</v>
      </c>
      <c r="D41" s="1" t="s">
        <v>140</v>
      </c>
      <c r="E41" s="1" t="s">
        <v>18</v>
      </c>
      <c r="F41" s="5">
        <v>386363</v>
      </c>
      <c r="G41" s="1" t="s">
        <v>41</v>
      </c>
      <c r="H41" s="6">
        <v>9020</v>
      </c>
      <c r="I41" s="5">
        <v>36.299999999999997</v>
      </c>
      <c r="J41" s="5">
        <v>327426</v>
      </c>
    </row>
    <row r="42" spans="1:10" x14ac:dyDescent="0.25">
      <c r="A42" s="4">
        <v>45867</v>
      </c>
      <c r="B42" s="1" t="s">
        <v>143</v>
      </c>
      <c r="C42" s="1" t="s">
        <v>16</v>
      </c>
      <c r="D42" s="1" t="s">
        <v>125</v>
      </c>
      <c r="E42" s="1" t="s">
        <v>18</v>
      </c>
      <c r="F42" s="5">
        <v>352690</v>
      </c>
      <c r="G42" s="1" t="s">
        <v>41</v>
      </c>
      <c r="H42" s="6">
        <v>8100</v>
      </c>
      <c r="I42" s="5">
        <v>36.9</v>
      </c>
      <c r="J42" s="5">
        <v>298890</v>
      </c>
    </row>
    <row r="43" spans="1:10" x14ac:dyDescent="0.25">
      <c r="A43" s="4">
        <v>45871</v>
      </c>
      <c r="B43" s="1" t="s">
        <v>144</v>
      </c>
      <c r="C43" s="1" t="s">
        <v>16</v>
      </c>
      <c r="D43" s="1" t="s">
        <v>133</v>
      </c>
      <c r="E43" s="1" t="s">
        <v>18</v>
      </c>
      <c r="F43" s="5">
        <v>834158</v>
      </c>
      <c r="G43" s="1" t="s">
        <v>131</v>
      </c>
      <c r="H43" s="6">
        <v>22265</v>
      </c>
      <c r="I43" s="5">
        <v>31.75</v>
      </c>
      <c r="J43" s="5">
        <v>706913.75</v>
      </c>
    </row>
    <row r="44" spans="1:10" x14ac:dyDescent="0.25">
      <c r="A44" s="4">
        <v>45872</v>
      </c>
      <c r="B44" s="1" t="s">
        <v>145</v>
      </c>
      <c r="C44" s="1" t="s">
        <v>16</v>
      </c>
      <c r="D44" s="1" t="s">
        <v>133</v>
      </c>
      <c r="E44" s="1" t="s">
        <v>18</v>
      </c>
      <c r="F44" s="5">
        <v>1311</v>
      </c>
      <c r="G44" s="1" t="s">
        <v>131</v>
      </c>
      <c r="H44" s="6">
        <v>35</v>
      </c>
      <c r="I44" s="5">
        <v>31.75</v>
      </c>
      <c r="J44" s="5">
        <v>1111.25</v>
      </c>
    </row>
    <row r="45" spans="1:10" x14ac:dyDescent="0.25">
      <c r="A45" s="4">
        <v>45872</v>
      </c>
      <c r="B45" s="1" t="s">
        <v>146</v>
      </c>
      <c r="C45" s="1" t="s">
        <v>16</v>
      </c>
      <c r="D45" s="1" t="s">
        <v>43</v>
      </c>
      <c r="E45" s="1" t="s">
        <v>18</v>
      </c>
      <c r="F45" s="5">
        <v>253110</v>
      </c>
      <c r="G45" s="1" t="s">
        <v>44</v>
      </c>
      <c r="H45" s="6">
        <v>7150</v>
      </c>
      <c r="I45" s="5">
        <v>30</v>
      </c>
      <c r="J45" s="5">
        <v>214500</v>
      </c>
    </row>
    <row r="46" spans="1:10" x14ac:dyDescent="0.25">
      <c r="A46" s="4">
        <v>45873</v>
      </c>
      <c r="B46" s="1" t="s">
        <v>147</v>
      </c>
      <c r="C46" s="1" t="s">
        <v>16</v>
      </c>
      <c r="D46" s="1" t="s">
        <v>148</v>
      </c>
      <c r="E46" s="1" t="s">
        <v>18</v>
      </c>
      <c r="F46" s="5">
        <v>453573</v>
      </c>
      <c r="G46" s="1" t="s">
        <v>41</v>
      </c>
      <c r="H46" s="6">
        <v>10560</v>
      </c>
      <c r="I46" s="5">
        <v>36.4</v>
      </c>
      <c r="J46" s="5">
        <v>384384</v>
      </c>
    </row>
    <row r="47" spans="1:10" x14ac:dyDescent="0.25">
      <c r="A47" s="4">
        <v>45879</v>
      </c>
      <c r="B47" s="1" t="s">
        <v>149</v>
      </c>
      <c r="C47" s="1" t="s">
        <v>16</v>
      </c>
      <c r="D47" s="1" t="s">
        <v>110</v>
      </c>
      <c r="E47" s="1" t="s">
        <v>18</v>
      </c>
      <c r="F47" s="5">
        <v>461299</v>
      </c>
      <c r="G47" s="1" t="s">
        <v>41</v>
      </c>
      <c r="H47" s="6">
        <v>10580</v>
      </c>
      <c r="I47" s="5">
        <v>36.950000000000003</v>
      </c>
      <c r="J47" s="5">
        <v>390931</v>
      </c>
    </row>
    <row r="48" spans="1:10" x14ac:dyDescent="0.25">
      <c r="A48" s="4">
        <v>45879</v>
      </c>
      <c r="B48" s="1" t="s">
        <v>150</v>
      </c>
      <c r="C48" s="1" t="s">
        <v>16</v>
      </c>
      <c r="D48" s="1" t="s">
        <v>125</v>
      </c>
      <c r="E48" s="1" t="s">
        <v>18</v>
      </c>
      <c r="F48" s="5">
        <v>345723</v>
      </c>
      <c r="G48" s="1" t="s">
        <v>41</v>
      </c>
      <c r="H48" s="6">
        <v>7940</v>
      </c>
      <c r="I48" s="5">
        <v>36.9</v>
      </c>
      <c r="J48" s="5">
        <v>292986</v>
      </c>
    </row>
    <row r="49" spans="1:10" x14ac:dyDescent="0.25">
      <c r="A49" s="4">
        <v>45879</v>
      </c>
      <c r="B49" s="1" t="s">
        <v>151</v>
      </c>
      <c r="C49" s="1" t="s">
        <v>16</v>
      </c>
      <c r="D49" s="1" t="s">
        <v>152</v>
      </c>
      <c r="E49" s="1" t="s">
        <v>18</v>
      </c>
      <c r="F49" s="5">
        <v>283831</v>
      </c>
      <c r="G49" s="1" t="s">
        <v>41</v>
      </c>
      <c r="H49" s="6">
        <v>6590</v>
      </c>
      <c r="I49" s="5">
        <v>36.5</v>
      </c>
      <c r="J49" s="5">
        <v>240535</v>
      </c>
    </row>
    <row r="50" spans="1:10" x14ac:dyDescent="0.25">
      <c r="A50" s="4">
        <v>45880</v>
      </c>
      <c r="B50" s="1" t="s">
        <v>153</v>
      </c>
      <c r="C50" s="1" t="s">
        <v>16</v>
      </c>
      <c r="D50" s="1" t="s">
        <v>130</v>
      </c>
      <c r="E50" s="1" t="s">
        <v>18</v>
      </c>
      <c r="F50" s="5">
        <v>822073</v>
      </c>
      <c r="G50" s="1" t="s">
        <v>131</v>
      </c>
      <c r="H50" s="6">
        <v>21771</v>
      </c>
      <c r="I50" s="5">
        <v>32</v>
      </c>
      <c r="J50" s="5">
        <v>696672</v>
      </c>
    </row>
    <row r="51" spans="1:10" x14ac:dyDescent="0.25">
      <c r="A51" s="4">
        <v>45880</v>
      </c>
      <c r="B51" s="1" t="s">
        <v>154</v>
      </c>
      <c r="C51" s="1" t="s">
        <v>16</v>
      </c>
      <c r="D51" s="1" t="s">
        <v>130</v>
      </c>
      <c r="E51" s="1" t="s">
        <v>18</v>
      </c>
      <c r="F51" s="5">
        <v>2983</v>
      </c>
      <c r="G51" s="1" t="s">
        <v>131</v>
      </c>
      <c r="H51" s="6">
        <v>79</v>
      </c>
      <c r="I51" s="5">
        <v>32</v>
      </c>
      <c r="J51" s="5">
        <v>2528</v>
      </c>
    </row>
    <row r="52" spans="1:10" x14ac:dyDescent="0.25">
      <c r="A52" s="4">
        <v>45895</v>
      </c>
      <c r="B52" s="1" t="s">
        <v>155</v>
      </c>
      <c r="C52" s="1" t="s">
        <v>16</v>
      </c>
      <c r="D52" s="1" t="s">
        <v>115</v>
      </c>
      <c r="E52" s="1" t="s">
        <v>18</v>
      </c>
      <c r="F52" s="5">
        <v>376929</v>
      </c>
      <c r="G52" s="1" t="s">
        <v>41</v>
      </c>
      <c r="H52" s="6">
        <v>8610</v>
      </c>
      <c r="I52" s="5">
        <v>37.1</v>
      </c>
      <c r="J52" s="5">
        <v>319431</v>
      </c>
    </row>
    <row r="53" spans="1:10" x14ac:dyDescent="0.25">
      <c r="A53" s="4">
        <v>45895</v>
      </c>
      <c r="B53" s="1" t="s">
        <v>156</v>
      </c>
      <c r="C53" s="1" t="s">
        <v>16</v>
      </c>
      <c r="D53" s="1" t="s">
        <v>152</v>
      </c>
      <c r="E53" s="1" t="s">
        <v>18</v>
      </c>
      <c r="F53" s="5">
        <v>403997</v>
      </c>
      <c r="G53" s="1" t="s">
        <v>41</v>
      </c>
      <c r="H53" s="6">
        <v>9380</v>
      </c>
      <c r="I53" s="5">
        <v>36.5</v>
      </c>
      <c r="J53" s="5">
        <v>342370</v>
      </c>
    </row>
    <row r="54" spans="1:10" x14ac:dyDescent="0.25">
      <c r="A54" s="4">
        <v>45897</v>
      </c>
      <c r="B54" s="1" t="s">
        <v>157</v>
      </c>
      <c r="C54" s="1" t="s">
        <v>16</v>
      </c>
      <c r="D54" s="1" t="s">
        <v>40</v>
      </c>
      <c r="E54" s="1" t="s">
        <v>18</v>
      </c>
      <c r="F54" s="5">
        <v>394299</v>
      </c>
      <c r="G54" s="1" t="s">
        <v>41</v>
      </c>
      <c r="H54" s="6">
        <v>9180</v>
      </c>
      <c r="I54" s="5">
        <v>36.4</v>
      </c>
      <c r="J54" s="5">
        <v>334152</v>
      </c>
    </row>
    <row r="55" spans="1:10" x14ac:dyDescent="0.25">
      <c r="A55" s="4">
        <v>45900</v>
      </c>
      <c r="B55" s="1" t="s">
        <v>158</v>
      </c>
      <c r="C55" s="1" t="s">
        <v>16</v>
      </c>
      <c r="D55" s="1" t="s">
        <v>43</v>
      </c>
      <c r="E55" s="1" t="s">
        <v>18</v>
      </c>
      <c r="F55" s="5">
        <v>135582</v>
      </c>
      <c r="G55" s="1" t="s">
        <v>44</v>
      </c>
      <c r="H55" s="6">
        <v>3830</v>
      </c>
      <c r="I55" s="5">
        <v>30</v>
      </c>
      <c r="J55" s="5">
        <v>114900</v>
      </c>
    </row>
    <row r="56" spans="1:10" x14ac:dyDescent="0.25">
      <c r="A56" s="4">
        <v>45908</v>
      </c>
      <c r="B56" s="1" t="s">
        <v>159</v>
      </c>
      <c r="C56" s="1" t="s">
        <v>16</v>
      </c>
      <c r="D56" s="1" t="s">
        <v>152</v>
      </c>
      <c r="E56" s="1" t="s">
        <v>18</v>
      </c>
      <c r="F56" s="5">
        <v>419071</v>
      </c>
      <c r="G56" s="1" t="s">
        <v>41</v>
      </c>
      <c r="H56" s="6">
        <v>9730</v>
      </c>
      <c r="I56" s="5">
        <v>36.5</v>
      </c>
      <c r="J56" s="5">
        <v>355145</v>
      </c>
    </row>
    <row r="57" spans="1:10" x14ac:dyDescent="0.25">
      <c r="A57" s="4">
        <v>45909</v>
      </c>
      <c r="B57" s="1" t="s">
        <v>160</v>
      </c>
      <c r="C57" s="1" t="s">
        <v>16</v>
      </c>
      <c r="D57" s="1" t="s">
        <v>130</v>
      </c>
      <c r="E57" s="1" t="s">
        <v>18</v>
      </c>
      <c r="F57" s="5">
        <v>827057</v>
      </c>
      <c r="G57" s="1" t="s">
        <v>131</v>
      </c>
      <c r="H57" s="6">
        <v>21903</v>
      </c>
      <c r="I57" s="5">
        <v>32</v>
      </c>
      <c r="J57" s="5">
        <v>700896</v>
      </c>
    </row>
    <row r="58" spans="1:10" x14ac:dyDescent="0.25">
      <c r="A58" s="4">
        <v>45910</v>
      </c>
      <c r="B58" s="1" t="s">
        <v>161</v>
      </c>
      <c r="C58" s="1" t="s">
        <v>16</v>
      </c>
      <c r="D58" s="1" t="s">
        <v>130</v>
      </c>
      <c r="E58" s="1" t="s">
        <v>18</v>
      </c>
      <c r="F58" s="5">
        <v>2530</v>
      </c>
      <c r="G58" s="1" t="s">
        <v>131</v>
      </c>
      <c r="H58" s="6">
        <v>67</v>
      </c>
      <c r="I58" s="5">
        <v>32</v>
      </c>
      <c r="J58" s="5">
        <v>2144</v>
      </c>
    </row>
    <row r="59" spans="1:10" x14ac:dyDescent="0.25">
      <c r="A59" s="4">
        <v>45911</v>
      </c>
      <c r="B59" s="1" t="s">
        <v>162</v>
      </c>
      <c r="C59" s="1" t="s">
        <v>16</v>
      </c>
      <c r="D59" s="1" t="s">
        <v>125</v>
      </c>
      <c r="E59" s="1" t="s">
        <v>18</v>
      </c>
      <c r="F59" s="5">
        <v>437162</v>
      </c>
      <c r="G59" s="1" t="s">
        <v>41</v>
      </c>
      <c r="H59" s="6">
        <v>10040</v>
      </c>
      <c r="I59" s="5">
        <v>36.4</v>
      </c>
      <c r="J59" s="5">
        <v>370476</v>
      </c>
    </row>
    <row r="60" spans="1:10" x14ac:dyDescent="0.25">
      <c r="A60" s="4">
        <v>45918</v>
      </c>
      <c r="B60" s="1" t="s">
        <v>163</v>
      </c>
      <c r="C60" s="1" t="s">
        <v>16</v>
      </c>
      <c r="D60" s="1" t="s">
        <v>40</v>
      </c>
      <c r="E60" s="1" t="s">
        <v>18</v>
      </c>
      <c r="F60" s="5">
        <v>453870</v>
      </c>
      <c r="G60" s="1" t="s">
        <v>41</v>
      </c>
      <c r="H60" s="6">
        <v>10640</v>
      </c>
      <c r="I60" s="5">
        <v>36.15</v>
      </c>
      <c r="J60" s="5">
        <v>384636</v>
      </c>
    </row>
    <row r="61" spans="1:10" x14ac:dyDescent="0.25">
      <c r="A61" s="4">
        <v>45922</v>
      </c>
      <c r="B61" s="1" t="s">
        <v>164</v>
      </c>
      <c r="C61" s="1" t="s">
        <v>16</v>
      </c>
      <c r="D61" s="1" t="s">
        <v>110</v>
      </c>
      <c r="E61" s="1" t="s">
        <v>18</v>
      </c>
      <c r="F61" s="5">
        <v>382913</v>
      </c>
      <c r="G61" s="1" t="s">
        <v>41</v>
      </c>
      <c r="H61" s="6">
        <v>8830</v>
      </c>
      <c r="I61" s="5">
        <v>36.75</v>
      </c>
      <c r="J61" s="5">
        <v>324502.5</v>
      </c>
    </row>
    <row r="62" spans="1:10" x14ac:dyDescent="0.25">
      <c r="A62" s="4">
        <v>45925</v>
      </c>
      <c r="B62" s="1" t="s">
        <v>165</v>
      </c>
      <c r="C62" s="1" t="s">
        <v>16</v>
      </c>
      <c r="D62" s="1" t="s">
        <v>152</v>
      </c>
      <c r="E62" s="1" t="s">
        <v>18</v>
      </c>
      <c r="F62" s="5">
        <v>433311</v>
      </c>
      <c r="G62" s="1" t="s">
        <v>41</v>
      </c>
      <c r="H62" s="6">
        <v>10130</v>
      </c>
      <c r="I62" s="5">
        <v>36.25</v>
      </c>
      <c r="J62" s="5">
        <v>367212.5</v>
      </c>
    </row>
    <row r="63" spans="1:10" x14ac:dyDescent="0.25">
      <c r="A63" s="4">
        <v>45926</v>
      </c>
      <c r="B63" s="1" t="s">
        <v>166</v>
      </c>
      <c r="C63" s="1" t="s">
        <v>16</v>
      </c>
      <c r="D63" s="1" t="s">
        <v>43</v>
      </c>
      <c r="E63" s="1" t="s">
        <v>18</v>
      </c>
      <c r="F63" s="5">
        <v>159654</v>
      </c>
      <c r="G63" s="1" t="s">
        <v>44</v>
      </c>
      <c r="H63" s="6">
        <v>4510</v>
      </c>
      <c r="I63" s="5">
        <v>30</v>
      </c>
      <c r="J63" s="5">
        <v>135300</v>
      </c>
    </row>
    <row r="64" spans="1:10" x14ac:dyDescent="0.25">
      <c r="A64" s="4">
        <v>45927</v>
      </c>
      <c r="B64" s="1" t="s">
        <v>167</v>
      </c>
      <c r="C64" s="1" t="s">
        <v>16</v>
      </c>
      <c r="D64" s="1" t="s">
        <v>115</v>
      </c>
      <c r="E64" s="1" t="s">
        <v>18</v>
      </c>
      <c r="F64" s="5">
        <v>341747</v>
      </c>
      <c r="G64" s="1" t="s">
        <v>41</v>
      </c>
      <c r="H64" s="6">
        <v>7870</v>
      </c>
      <c r="I64" s="5">
        <v>36.799999999999997</v>
      </c>
      <c r="J64" s="5">
        <v>289616</v>
      </c>
    </row>
    <row r="65" spans="1:10" x14ac:dyDescent="0.25">
      <c r="A65" s="4">
        <v>45928</v>
      </c>
      <c r="B65" s="1" t="s">
        <v>168</v>
      </c>
      <c r="C65" s="1" t="s">
        <v>16</v>
      </c>
      <c r="D65" s="1" t="s">
        <v>169</v>
      </c>
      <c r="E65" s="1" t="s">
        <v>18</v>
      </c>
      <c r="F65" s="5">
        <v>403008</v>
      </c>
      <c r="G65" s="1" t="s">
        <v>41</v>
      </c>
      <c r="H65" s="6">
        <v>9540</v>
      </c>
      <c r="I65" s="5">
        <v>35.799999999999997</v>
      </c>
      <c r="J65" s="5">
        <v>341532</v>
      </c>
    </row>
    <row r="66" spans="1:10" x14ac:dyDescent="0.25">
      <c r="A66" s="4">
        <v>45936</v>
      </c>
      <c r="B66" s="1" t="s">
        <v>170</v>
      </c>
      <c r="C66" s="1" t="s">
        <v>16</v>
      </c>
      <c r="D66" s="1" t="s">
        <v>130</v>
      </c>
      <c r="E66" s="1" t="s">
        <v>18</v>
      </c>
      <c r="F66" s="5">
        <v>842783</v>
      </c>
      <c r="G66" s="1" t="s">
        <v>131</v>
      </c>
      <c r="H66" s="6">
        <v>22602</v>
      </c>
      <c r="I66" s="5">
        <v>31.6</v>
      </c>
      <c r="J66" s="5">
        <v>714223.2</v>
      </c>
    </row>
    <row r="67" spans="1:10" x14ac:dyDescent="0.25">
      <c r="A67" s="4">
        <v>45936</v>
      </c>
      <c r="B67" s="1" t="s">
        <v>171</v>
      </c>
      <c r="C67" s="1" t="s">
        <v>16</v>
      </c>
      <c r="D67" s="1" t="s">
        <v>172</v>
      </c>
      <c r="E67" s="1" t="s">
        <v>18</v>
      </c>
      <c r="F67" s="5">
        <v>818771</v>
      </c>
      <c r="G67" s="1" t="s">
        <v>131</v>
      </c>
      <c r="H67" s="6">
        <v>22565</v>
      </c>
      <c r="I67" s="5">
        <v>30.75</v>
      </c>
      <c r="J67" s="5">
        <v>693873.75</v>
      </c>
    </row>
    <row r="68" spans="1:10" x14ac:dyDescent="0.25">
      <c r="A68" s="4">
        <v>45936</v>
      </c>
      <c r="B68" s="1" t="s">
        <v>173</v>
      </c>
      <c r="C68" s="1" t="s">
        <v>16</v>
      </c>
      <c r="D68" s="1" t="s">
        <v>130</v>
      </c>
      <c r="E68" s="1" t="s">
        <v>18</v>
      </c>
      <c r="F68" s="5">
        <v>3654</v>
      </c>
      <c r="G68" s="1" t="s">
        <v>131</v>
      </c>
      <c r="H68" s="6">
        <v>98</v>
      </c>
      <c r="I68" s="5">
        <v>31.6</v>
      </c>
      <c r="J68" s="5">
        <v>3096.8</v>
      </c>
    </row>
    <row r="69" spans="1:10" x14ac:dyDescent="0.25">
      <c r="A69" s="4">
        <v>45941</v>
      </c>
      <c r="B69" s="1" t="s">
        <v>174</v>
      </c>
      <c r="C69" s="1" t="s">
        <v>16</v>
      </c>
      <c r="D69" s="1" t="s">
        <v>110</v>
      </c>
      <c r="E69" s="1" t="s">
        <v>18</v>
      </c>
      <c r="F69" s="5">
        <v>466879</v>
      </c>
      <c r="G69" s="1" t="s">
        <v>41</v>
      </c>
      <c r="H69" s="6">
        <v>10840</v>
      </c>
      <c r="I69" s="5">
        <v>36.5</v>
      </c>
      <c r="J69" s="5">
        <v>395660</v>
      </c>
    </row>
    <row r="70" spans="1:10" x14ac:dyDescent="0.25">
      <c r="A70" s="4">
        <v>45942</v>
      </c>
      <c r="B70" s="1" t="s">
        <v>175</v>
      </c>
      <c r="C70" s="1" t="s">
        <v>16</v>
      </c>
      <c r="D70" s="1" t="s">
        <v>152</v>
      </c>
      <c r="E70" s="1" t="s">
        <v>18</v>
      </c>
      <c r="F70" s="5">
        <v>445149</v>
      </c>
      <c r="G70" s="1" t="s">
        <v>41</v>
      </c>
      <c r="H70" s="6">
        <v>10450</v>
      </c>
      <c r="I70" s="5">
        <v>36.1</v>
      </c>
      <c r="J70" s="5">
        <v>377245</v>
      </c>
    </row>
    <row r="71" spans="1:10" x14ac:dyDescent="0.25">
      <c r="A71" s="4">
        <v>45943</v>
      </c>
      <c r="B71" s="1" t="s">
        <v>176</v>
      </c>
      <c r="C71" s="1" t="s">
        <v>16</v>
      </c>
      <c r="D71" s="1" t="s">
        <v>125</v>
      </c>
      <c r="E71" s="1" t="s">
        <v>18</v>
      </c>
      <c r="F71" s="5">
        <v>358460</v>
      </c>
      <c r="G71" s="1" t="s">
        <v>41</v>
      </c>
      <c r="H71" s="6">
        <v>8300</v>
      </c>
      <c r="I71" s="5">
        <v>36.6</v>
      </c>
      <c r="J71" s="5">
        <v>303780</v>
      </c>
    </row>
    <row r="72" spans="1:10" x14ac:dyDescent="0.25">
      <c r="A72" s="4">
        <v>45948</v>
      </c>
      <c r="B72" s="1" t="s">
        <v>177</v>
      </c>
      <c r="C72" s="1" t="s">
        <v>16</v>
      </c>
      <c r="D72" s="1" t="s">
        <v>43</v>
      </c>
      <c r="E72" s="1" t="s">
        <v>18</v>
      </c>
      <c r="F72" s="5">
        <v>133458</v>
      </c>
      <c r="G72" s="1" t="s">
        <v>44</v>
      </c>
      <c r="H72" s="6">
        <v>3770</v>
      </c>
      <c r="I72" s="5">
        <v>30</v>
      </c>
      <c r="J72" s="5">
        <v>113100</v>
      </c>
    </row>
    <row r="73" spans="1:10" x14ac:dyDescent="0.25">
      <c r="A73" s="4">
        <v>45969</v>
      </c>
      <c r="B73" s="1" t="s">
        <v>178</v>
      </c>
      <c r="C73" s="1" t="s">
        <v>16</v>
      </c>
      <c r="D73" s="1" t="s">
        <v>125</v>
      </c>
      <c r="E73" s="1" t="s">
        <v>18</v>
      </c>
      <c r="F73" s="5">
        <v>339634</v>
      </c>
      <c r="G73" s="1" t="s">
        <v>41</v>
      </c>
      <c r="H73" s="6">
        <v>7940</v>
      </c>
      <c r="I73" s="5">
        <v>36.25</v>
      </c>
      <c r="J73" s="5">
        <v>287825</v>
      </c>
    </row>
    <row r="74" spans="1:10" x14ac:dyDescent="0.25">
      <c r="A74" s="4">
        <v>45969</v>
      </c>
      <c r="B74" s="1" t="s">
        <v>179</v>
      </c>
      <c r="C74" s="1" t="s">
        <v>16</v>
      </c>
      <c r="D74" s="1" t="s">
        <v>110</v>
      </c>
      <c r="E74" s="1" t="s">
        <v>18</v>
      </c>
      <c r="F74" s="5">
        <v>452987</v>
      </c>
      <c r="G74" s="1" t="s">
        <v>41</v>
      </c>
      <c r="H74" s="6">
        <v>10590</v>
      </c>
      <c r="I74" s="5">
        <v>36.25</v>
      </c>
      <c r="J74" s="5">
        <v>383887.5</v>
      </c>
    </row>
    <row r="75" spans="1:10" x14ac:dyDescent="0.25">
      <c r="A75" s="4">
        <v>45971</v>
      </c>
      <c r="B75" s="1" t="s">
        <v>180</v>
      </c>
      <c r="C75" s="1" t="s">
        <v>16</v>
      </c>
      <c r="D75" s="1" t="s">
        <v>152</v>
      </c>
      <c r="E75" s="1" t="s">
        <v>18</v>
      </c>
      <c r="F75" s="5">
        <v>415030</v>
      </c>
      <c r="G75" s="1" t="s">
        <v>41</v>
      </c>
      <c r="H75" s="6">
        <v>9770</v>
      </c>
      <c r="I75" s="5">
        <v>36</v>
      </c>
      <c r="J75" s="5">
        <v>351720</v>
      </c>
    </row>
    <row r="76" spans="1:10" x14ac:dyDescent="0.25">
      <c r="A76" s="4">
        <v>45972</v>
      </c>
      <c r="B76" s="1" t="s">
        <v>181</v>
      </c>
      <c r="C76" s="1" t="s">
        <v>16</v>
      </c>
      <c r="D76" s="1" t="s">
        <v>169</v>
      </c>
      <c r="E76" s="1" t="s">
        <v>18</v>
      </c>
      <c r="F76" s="5">
        <v>304121</v>
      </c>
      <c r="G76" s="1" t="s">
        <v>41</v>
      </c>
      <c r="H76" s="6">
        <v>7260</v>
      </c>
      <c r="I76" s="5">
        <v>35.5</v>
      </c>
      <c r="J76" s="5">
        <v>257730</v>
      </c>
    </row>
    <row r="77" spans="1:10" x14ac:dyDescent="0.25">
      <c r="A77" s="4">
        <v>45974</v>
      </c>
      <c r="B77" s="1" t="s">
        <v>182</v>
      </c>
      <c r="C77" s="1" t="s">
        <v>16</v>
      </c>
      <c r="D77" s="1" t="s">
        <v>43</v>
      </c>
      <c r="E77" s="1" t="s">
        <v>18</v>
      </c>
      <c r="F77" s="5">
        <v>114696</v>
      </c>
      <c r="G77" s="1" t="s">
        <v>44</v>
      </c>
      <c r="H77" s="6">
        <v>3240</v>
      </c>
      <c r="I77" s="5">
        <v>30</v>
      </c>
      <c r="J77" s="5">
        <v>97200</v>
      </c>
    </row>
    <row r="78" spans="1:10" x14ac:dyDescent="0.25">
      <c r="A78" s="4">
        <v>45975</v>
      </c>
      <c r="B78" s="1" t="s">
        <v>183</v>
      </c>
      <c r="C78" s="1" t="s">
        <v>16</v>
      </c>
      <c r="D78" s="1" t="s">
        <v>130</v>
      </c>
      <c r="E78" s="1" t="s">
        <v>18</v>
      </c>
      <c r="F78" s="5">
        <v>558357</v>
      </c>
      <c r="G78" s="1" t="s">
        <v>41</v>
      </c>
      <c r="H78" s="6">
        <v>14880</v>
      </c>
      <c r="I78" s="5">
        <v>31.8</v>
      </c>
      <c r="J78" s="5">
        <v>473184</v>
      </c>
    </row>
    <row r="79" spans="1:10" x14ac:dyDescent="0.25">
      <c r="A79" s="4">
        <v>45978</v>
      </c>
      <c r="B79" s="1" t="s">
        <v>184</v>
      </c>
      <c r="C79" s="1" t="s">
        <v>16</v>
      </c>
      <c r="D79" s="1" t="s">
        <v>40</v>
      </c>
      <c r="E79" s="1" t="s">
        <v>18</v>
      </c>
      <c r="F79" s="5">
        <v>343575</v>
      </c>
      <c r="G79" s="1" t="s">
        <v>41</v>
      </c>
      <c r="H79" s="6">
        <v>8260</v>
      </c>
      <c r="I79" s="5">
        <v>35.25</v>
      </c>
      <c r="J79" s="5">
        <v>291165</v>
      </c>
    </row>
    <row r="80" spans="1:10" x14ac:dyDescent="0.25">
      <c r="A80" s="4">
        <v>45979</v>
      </c>
      <c r="B80" s="1" t="s">
        <v>185</v>
      </c>
      <c r="C80" s="1" t="s">
        <v>16</v>
      </c>
      <c r="D80" s="1" t="s">
        <v>125</v>
      </c>
      <c r="E80" s="1" t="s">
        <v>18</v>
      </c>
      <c r="F80" s="5">
        <v>143981</v>
      </c>
      <c r="G80" s="1" t="s">
        <v>41</v>
      </c>
      <c r="H80" s="6">
        <v>3380</v>
      </c>
      <c r="I80" s="5">
        <v>36.1</v>
      </c>
      <c r="J80" s="5">
        <v>122018</v>
      </c>
    </row>
    <row r="81" spans="1:10" x14ac:dyDescent="0.25">
      <c r="A81" s="4">
        <v>45981</v>
      </c>
      <c r="B81" s="1" t="s">
        <v>186</v>
      </c>
      <c r="C81" s="1" t="s">
        <v>16</v>
      </c>
      <c r="D81" s="1" t="s">
        <v>125</v>
      </c>
      <c r="E81" s="1" t="s">
        <v>18</v>
      </c>
      <c r="F81" s="5">
        <v>384120</v>
      </c>
      <c r="G81" s="1" t="s">
        <v>41</v>
      </c>
      <c r="H81" s="6">
        <v>8980</v>
      </c>
      <c r="I81" s="5">
        <v>36.25</v>
      </c>
      <c r="J81" s="5">
        <v>325525</v>
      </c>
    </row>
    <row r="82" spans="1:10" x14ac:dyDescent="0.25">
      <c r="A82" s="4">
        <v>45982</v>
      </c>
      <c r="B82" s="1" t="s">
        <v>187</v>
      </c>
      <c r="C82" s="1" t="s">
        <v>16</v>
      </c>
      <c r="D82" s="1" t="s">
        <v>110</v>
      </c>
      <c r="E82" s="1" t="s">
        <v>18</v>
      </c>
      <c r="F82" s="5">
        <v>378559</v>
      </c>
      <c r="G82" s="1" t="s">
        <v>41</v>
      </c>
      <c r="H82" s="6">
        <v>8850</v>
      </c>
      <c r="I82" s="5">
        <v>36.25</v>
      </c>
      <c r="J82" s="5">
        <v>320812.5</v>
      </c>
    </row>
    <row r="83" spans="1:10" x14ac:dyDescent="0.25">
      <c r="A83" s="4">
        <v>45984</v>
      </c>
      <c r="B83" s="1" t="s">
        <v>188</v>
      </c>
      <c r="C83" s="1" t="s">
        <v>16</v>
      </c>
      <c r="D83" s="1" t="s">
        <v>152</v>
      </c>
      <c r="E83" s="1" t="s">
        <v>18</v>
      </c>
      <c r="F83" s="5">
        <v>424800</v>
      </c>
      <c r="G83" s="1" t="s">
        <v>41</v>
      </c>
      <c r="H83" s="6">
        <v>10000</v>
      </c>
      <c r="I83" s="5">
        <v>36</v>
      </c>
      <c r="J83" s="5">
        <v>360000</v>
      </c>
    </row>
    <row r="84" spans="1:10" x14ac:dyDescent="0.25">
      <c r="A84" s="4">
        <v>45985</v>
      </c>
      <c r="B84" s="1" t="s">
        <v>189</v>
      </c>
      <c r="C84" s="1" t="s">
        <v>16</v>
      </c>
      <c r="D84" s="1" t="s">
        <v>133</v>
      </c>
      <c r="E84" s="1" t="s">
        <v>18</v>
      </c>
      <c r="F84" s="5">
        <v>1330226</v>
      </c>
      <c r="G84" s="1" t="s">
        <v>131</v>
      </c>
      <c r="H84" s="6">
        <v>35450</v>
      </c>
      <c r="I84" s="5">
        <v>31.8</v>
      </c>
      <c r="J84" s="5">
        <v>1127310</v>
      </c>
    </row>
    <row r="85" spans="1:10" x14ac:dyDescent="0.25">
      <c r="A85" s="4">
        <v>45989</v>
      </c>
      <c r="B85" s="1" t="s">
        <v>190</v>
      </c>
      <c r="C85" s="1" t="s">
        <v>16</v>
      </c>
      <c r="D85" s="1" t="s">
        <v>125</v>
      </c>
      <c r="E85" s="1" t="s">
        <v>18</v>
      </c>
      <c r="F85" s="5">
        <v>210913</v>
      </c>
      <c r="G85" s="1" t="s">
        <v>191</v>
      </c>
      <c r="H85" s="6">
        <v>4965</v>
      </c>
      <c r="I85" s="5">
        <v>36</v>
      </c>
      <c r="J85" s="5">
        <v>178740</v>
      </c>
    </row>
    <row r="86" spans="1:10" x14ac:dyDescent="0.25">
      <c r="A86" s="4">
        <v>45989</v>
      </c>
      <c r="B86" s="1" t="s">
        <v>192</v>
      </c>
      <c r="C86" s="1" t="s">
        <v>16</v>
      </c>
      <c r="D86" s="1" t="s">
        <v>40</v>
      </c>
      <c r="E86" s="1" t="s">
        <v>18</v>
      </c>
      <c r="F86" s="5">
        <v>374078</v>
      </c>
      <c r="G86" s="1" t="s">
        <v>41</v>
      </c>
      <c r="H86" s="6">
        <v>8930</v>
      </c>
      <c r="I86" s="5">
        <v>35.5</v>
      </c>
      <c r="J86" s="5">
        <v>317015</v>
      </c>
    </row>
    <row r="87" spans="1:10" x14ac:dyDescent="0.25">
      <c r="A87" s="4">
        <v>45991</v>
      </c>
      <c r="B87" s="1" t="s">
        <v>193</v>
      </c>
      <c r="C87" s="1" t="s">
        <v>16</v>
      </c>
      <c r="D87" s="1" t="s">
        <v>130</v>
      </c>
      <c r="E87" s="1" t="s">
        <v>18</v>
      </c>
      <c r="F87" s="5">
        <v>622523</v>
      </c>
      <c r="G87" s="1" t="s">
        <v>131</v>
      </c>
      <c r="H87" s="6">
        <v>16590</v>
      </c>
      <c r="I87" s="5">
        <v>31.8</v>
      </c>
      <c r="J87" s="5">
        <v>527562</v>
      </c>
    </row>
    <row r="88" spans="1:10" x14ac:dyDescent="0.25">
      <c r="A88" s="4">
        <v>45991</v>
      </c>
      <c r="B88" s="1" t="s">
        <v>194</v>
      </c>
      <c r="C88" s="1" t="s">
        <v>16</v>
      </c>
      <c r="D88" s="1" t="s">
        <v>133</v>
      </c>
      <c r="E88" s="1" t="s">
        <v>18</v>
      </c>
      <c r="F88" s="5">
        <v>652918</v>
      </c>
      <c r="G88" s="1" t="s">
        <v>131</v>
      </c>
      <c r="H88" s="6">
        <v>17400</v>
      </c>
      <c r="I88" s="5">
        <v>31.8</v>
      </c>
      <c r="J88" s="5">
        <v>553320</v>
      </c>
    </row>
    <row r="89" spans="1:10" x14ac:dyDescent="0.25">
      <c r="A89" s="4">
        <v>45995</v>
      </c>
      <c r="B89" s="1" t="s">
        <v>195</v>
      </c>
      <c r="C89" s="1" t="s">
        <v>16</v>
      </c>
      <c r="D89" s="1" t="s">
        <v>152</v>
      </c>
      <c r="E89" s="1" t="s">
        <v>18</v>
      </c>
      <c r="F89" s="5">
        <v>312228</v>
      </c>
      <c r="G89" s="1" t="s">
        <v>41</v>
      </c>
      <c r="H89" s="6">
        <v>7350</v>
      </c>
      <c r="I89" s="5">
        <v>36</v>
      </c>
      <c r="J89" s="5">
        <v>264600</v>
      </c>
    </row>
    <row r="90" spans="1:10" x14ac:dyDescent="0.25">
      <c r="A90" s="4">
        <v>45999</v>
      </c>
      <c r="B90" s="1" t="s">
        <v>196</v>
      </c>
      <c r="C90" s="1" t="s">
        <v>16</v>
      </c>
      <c r="D90" s="1" t="s">
        <v>110</v>
      </c>
      <c r="E90" s="1" t="s">
        <v>18</v>
      </c>
      <c r="F90" s="5">
        <v>328940</v>
      </c>
      <c r="G90" s="1" t="s">
        <v>41</v>
      </c>
      <c r="H90" s="6">
        <v>7690</v>
      </c>
      <c r="I90" s="5">
        <v>36.25</v>
      </c>
      <c r="J90" s="5">
        <v>278762.5</v>
      </c>
    </row>
    <row r="91" spans="1:10" x14ac:dyDescent="0.25">
      <c r="A91" s="4">
        <v>45999</v>
      </c>
      <c r="B91" s="1" t="s">
        <v>197</v>
      </c>
      <c r="C91" s="1" t="s">
        <v>16</v>
      </c>
      <c r="D91" s="1" t="s">
        <v>125</v>
      </c>
      <c r="E91" s="1" t="s">
        <v>18</v>
      </c>
      <c r="F91" s="5">
        <v>293628</v>
      </c>
      <c r="G91" s="1" t="s">
        <v>41</v>
      </c>
      <c r="H91" s="6">
        <v>6980</v>
      </c>
      <c r="I91" s="5">
        <v>35.65</v>
      </c>
      <c r="J91" s="5">
        <v>248837</v>
      </c>
    </row>
    <row r="92" spans="1:10" x14ac:dyDescent="0.25">
      <c r="A92" s="4">
        <v>46003</v>
      </c>
      <c r="B92" s="1" t="s">
        <v>198</v>
      </c>
      <c r="C92" s="1" t="s">
        <v>16</v>
      </c>
      <c r="D92" s="1" t="s">
        <v>125</v>
      </c>
      <c r="E92" s="1" t="s">
        <v>18</v>
      </c>
      <c r="F92" s="5">
        <v>287020</v>
      </c>
      <c r="G92" s="1" t="s">
        <v>41</v>
      </c>
      <c r="H92" s="6">
        <v>6710</v>
      </c>
      <c r="I92" s="5">
        <v>36.25</v>
      </c>
      <c r="J92" s="5">
        <v>243237.5</v>
      </c>
    </row>
    <row r="93" spans="1:10" x14ac:dyDescent="0.25">
      <c r="A93" s="4">
        <v>46003</v>
      </c>
      <c r="B93" s="1" t="s">
        <v>199</v>
      </c>
      <c r="C93" s="1" t="s">
        <v>16</v>
      </c>
      <c r="D93" s="1" t="s">
        <v>43</v>
      </c>
      <c r="E93" s="1" t="s">
        <v>18</v>
      </c>
      <c r="F93" s="5">
        <v>235056</v>
      </c>
      <c r="G93" s="1" t="s">
        <v>44</v>
      </c>
      <c r="H93" s="6">
        <v>6640</v>
      </c>
      <c r="I93" s="5">
        <v>30</v>
      </c>
      <c r="J93" s="5">
        <v>199200</v>
      </c>
    </row>
    <row r="94" spans="1:10" x14ac:dyDescent="0.25">
      <c r="A94" s="4">
        <v>46003</v>
      </c>
      <c r="B94" s="1" t="s">
        <v>200</v>
      </c>
      <c r="C94" s="1" t="s">
        <v>16</v>
      </c>
      <c r="D94" s="1" t="s">
        <v>201</v>
      </c>
      <c r="E94" s="1" t="s">
        <v>18</v>
      </c>
      <c r="F94" s="5">
        <v>355460</v>
      </c>
      <c r="G94" s="1" t="s">
        <v>41</v>
      </c>
      <c r="H94" s="6">
        <v>8310</v>
      </c>
      <c r="I94" s="5">
        <v>36.25</v>
      </c>
      <c r="J94" s="5">
        <v>301237.5</v>
      </c>
    </row>
    <row r="95" spans="1:10" x14ac:dyDescent="0.25">
      <c r="A95" s="4">
        <v>46003</v>
      </c>
      <c r="B95" s="1" t="s">
        <v>202</v>
      </c>
      <c r="C95" s="1" t="s">
        <v>16</v>
      </c>
      <c r="D95" s="1" t="s">
        <v>152</v>
      </c>
      <c r="E95" s="1" t="s">
        <v>18</v>
      </c>
      <c r="F95" s="5">
        <v>324547</v>
      </c>
      <c r="G95" s="1" t="s">
        <v>41</v>
      </c>
      <c r="H95" s="6">
        <v>7640</v>
      </c>
      <c r="I95" s="5">
        <v>36</v>
      </c>
      <c r="J95" s="5">
        <v>275040</v>
      </c>
    </row>
    <row r="96" spans="1:10" x14ac:dyDescent="0.25">
      <c r="A96" s="4">
        <v>46010</v>
      </c>
      <c r="B96" s="1" t="s">
        <v>203</v>
      </c>
      <c r="C96" s="1" t="s">
        <v>16</v>
      </c>
      <c r="D96" s="1" t="s">
        <v>125</v>
      </c>
      <c r="E96" s="1" t="s">
        <v>18</v>
      </c>
      <c r="F96" s="5">
        <v>322555</v>
      </c>
      <c r="G96" s="1" t="s">
        <v>41</v>
      </c>
      <c r="H96" s="6">
        <v>7520</v>
      </c>
      <c r="I96" s="5">
        <v>36.35</v>
      </c>
      <c r="J96" s="5">
        <v>273352</v>
      </c>
    </row>
    <row r="97" spans="1:10" x14ac:dyDescent="0.25">
      <c r="A97" s="4">
        <v>46012</v>
      </c>
      <c r="B97" s="1" t="s">
        <v>204</v>
      </c>
      <c r="C97" s="1" t="s">
        <v>16</v>
      </c>
      <c r="D97" s="1" t="s">
        <v>152</v>
      </c>
      <c r="E97" s="1" t="s">
        <v>18</v>
      </c>
      <c r="F97" s="5">
        <v>411631</v>
      </c>
      <c r="G97" s="1" t="s">
        <v>41</v>
      </c>
      <c r="H97" s="6">
        <v>9690</v>
      </c>
      <c r="I97" s="5">
        <v>36</v>
      </c>
      <c r="J97" s="5">
        <v>348840</v>
      </c>
    </row>
    <row r="98" spans="1:10" x14ac:dyDescent="0.25">
      <c r="A98" s="4">
        <v>46014</v>
      </c>
      <c r="B98" s="1" t="s">
        <v>205</v>
      </c>
      <c r="C98" s="1" t="s">
        <v>16</v>
      </c>
      <c r="D98" s="1" t="s">
        <v>110</v>
      </c>
      <c r="E98" s="1" t="s">
        <v>18</v>
      </c>
      <c r="F98" s="5">
        <v>395241</v>
      </c>
      <c r="G98" s="1" t="s">
        <v>41</v>
      </c>
      <c r="H98" s="6">
        <v>9240</v>
      </c>
      <c r="I98" s="5">
        <v>36.25</v>
      </c>
      <c r="J98" s="5">
        <v>334950</v>
      </c>
    </row>
    <row r="99" spans="1:10" x14ac:dyDescent="0.25">
      <c r="A99" s="4">
        <v>46016</v>
      </c>
      <c r="B99" s="1" t="s">
        <v>206</v>
      </c>
      <c r="C99" s="1" t="s">
        <v>16</v>
      </c>
      <c r="D99" s="1" t="s">
        <v>103</v>
      </c>
      <c r="E99" s="1" t="s">
        <v>18</v>
      </c>
      <c r="F99" s="5">
        <v>424346</v>
      </c>
      <c r="G99" s="1" t="s">
        <v>41</v>
      </c>
      <c r="H99" s="6">
        <v>10130</v>
      </c>
      <c r="I99" s="5">
        <v>35.5</v>
      </c>
      <c r="J99" s="5">
        <v>359615</v>
      </c>
    </row>
    <row r="100" spans="1:10" x14ac:dyDescent="0.25">
      <c r="A100" s="4">
        <v>46018</v>
      </c>
      <c r="B100" s="1" t="s">
        <v>207</v>
      </c>
      <c r="C100" s="1" t="s">
        <v>16</v>
      </c>
      <c r="D100" s="1" t="s">
        <v>125</v>
      </c>
      <c r="E100" s="1" t="s">
        <v>18</v>
      </c>
      <c r="F100" s="5">
        <v>358157</v>
      </c>
      <c r="G100" s="1" t="s">
        <v>41</v>
      </c>
      <c r="H100" s="6">
        <v>8350</v>
      </c>
      <c r="I100" s="5">
        <v>36.35</v>
      </c>
      <c r="J100" s="5">
        <v>303522.5</v>
      </c>
    </row>
    <row r="101" spans="1:10" x14ac:dyDescent="0.25">
      <c r="A101" s="4">
        <v>46021</v>
      </c>
      <c r="B101" s="1" t="s">
        <v>208</v>
      </c>
      <c r="C101" s="1" t="s">
        <v>16</v>
      </c>
      <c r="D101" s="1" t="s">
        <v>201</v>
      </c>
      <c r="E101" s="1" t="s">
        <v>18</v>
      </c>
      <c r="F101" s="5">
        <v>-37385</v>
      </c>
      <c r="G101" s="1" t="s">
        <v>41</v>
      </c>
      <c r="H101" s="6">
        <v>-874</v>
      </c>
      <c r="I101" s="5">
        <v>36.25</v>
      </c>
      <c r="J101" s="5">
        <v>-31682.5</v>
      </c>
    </row>
    <row r="102" spans="1:10" x14ac:dyDescent="0.25">
      <c r="A102" s="4">
        <v>46021</v>
      </c>
      <c r="B102" s="1" t="s">
        <v>209</v>
      </c>
      <c r="C102" s="1" t="s">
        <v>16</v>
      </c>
      <c r="D102" s="1" t="s">
        <v>130</v>
      </c>
      <c r="E102" s="1" t="s">
        <v>18</v>
      </c>
      <c r="F102" s="5">
        <v>359335</v>
      </c>
      <c r="G102" s="1" t="s">
        <v>41</v>
      </c>
      <c r="H102" s="6">
        <v>8530</v>
      </c>
      <c r="I102" s="5">
        <v>35.700000000000003</v>
      </c>
      <c r="J102" s="5">
        <v>304521</v>
      </c>
    </row>
    <row r="103" spans="1:10" x14ac:dyDescent="0.25">
      <c r="A103" s="4">
        <v>46021</v>
      </c>
      <c r="B103" s="1" t="s">
        <v>210</v>
      </c>
      <c r="C103" s="1" t="s">
        <v>16</v>
      </c>
      <c r="D103" s="1" t="s">
        <v>201</v>
      </c>
      <c r="E103" s="1" t="s">
        <v>18</v>
      </c>
      <c r="F103" s="5">
        <v>41021</v>
      </c>
      <c r="G103" s="1" t="s">
        <v>41</v>
      </c>
      <c r="H103" s="6">
        <v>959</v>
      </c>
      <c r="I103" s="5">
        <v>36.25</v>
      </c>
      <c r="J103" s="5">
        <v>34763.75</v>
      </c>
    </row>
    <row r="104" spans="1:10" x14ac:dyDescent="0.25">
      <c r="A104" s="4">
        <v>46023</v>
      </c>
      <c r="B104" s="1" t="s">
        <v>211</v>
      </c>
      <c r="C104" s="1" t="s">
        <v>16</v>
      </c>
      <c r="D104" s="1" t="s">
        <v>201</v>
      </c>
      <c r="E104" s="1" t="s">
        <v>18</v>
      </c>
      <c r="F104" s="5">
        <v>240961</v>
      </c>
      <c r="G104" s="1" t="s">
        <v>191</v>
      </c>
      <c r="H104" s="6">
        <v>5720</v>
      </c>
      <c r="I104" s="5">
        <v>35.700000000000003</v>
      </c>
      <c r="J104" s="5">
        <v>204204</v>
      </c>
    </row>
    <row r="105" spans="1:10" x14ac:dyDescent="0.25">
      <c r="A105" s="4">
        <v>46025</v>
      </c>
      <c r="B105" s="1" t="s">
        <v>212</v>
      </c>
      <c r="C105" s="1" t="s">
        <v>16</v>
      </c>
      <c r="D105" s="1" t="s">
        <v>152</v>
      </c>
      <c r="E105" s="1" t="s">
        <v>18</v>
      </c>
      <c r="F105" s="5">
        <v>326246</v>
      </c>
      <c r="G105" s="1" t="s">
        <v>41</v>
      </c>
      <c r="H105" s="6">
        <v>7680</v>
      </c>
      <c r="I105" s="5">
        <v>36</v>
      </c>
      <c r="J105" s="5">
        <v>276480</v>
      </c>
    </row>
    <row r="106" spans="1:10" x14ac:dyDescent="0.25">
      <c r="A106" s="4">
        <v>46026</v>
      </c>
      <c r="B106" s="1" t="s">
        <v>213</v>
      </c>
      <c r="C106" s="1" t="s">
        <v>16</v>
      </c>
      <c r="D106" s="1" t="s">
        <v>112</v>
      </c>
      <c r="E106" s="1" t="s">
        <v>18</v>
      </c>
      <c r="F106" s="5">
        <v>155663</v>
      </c>
      <c r="G106" s="1" t="s">
        <v>191</v>
      </c>
      <c r="H106" s="6">
        <v>3690</v>
      </c>
      <c r="I106" s="5">
        <v>35.75</v>
      </c>
      <c r="J106" s="5">
        <v>131917.5</v>
      </c>
    </row>
    <row r="107" spans="1:10" x14ac:dyDescent="0.25">
      <c r="A107" s="4">
        <v>46027</v>
      </c>
      <c r="B107" s="1" t="s">
        <v>214</v>
      </c>
      <c r="C107" s="1" t="s">
        <v>16</v>
      </c>
      <c r="D107" s="1" t="s">
        <v>201</v>
      </c>
      <c r="E107" s="1" t="s">
        <v>18</v>
      </c>
      <c r="F107" s="5">
        <v>916141</v>
      </c>
      <c r="G107" s="1" t="s">
        <v>215</v>
      </c>
      <c r="H107" s="6">
        <v>20166</v>
      </c>
      <c r="I107" s="5">
        <v>38.5</v>
      </c>
      <c r="J107" s="5">
        <v>776391</v>
      </c>
    </row>
    <row r="108" spans="1:10" x14ac:dyDescent="0.25">
      <c r="A108" s="4">
        <v>46030</v>
      </c>
      <c r="B108" s="1" t="s">
        <v>216</v>
      </c>
      <c r="C108" s="1" t="s">
        <v>16</v>
      </c>
      <c r="D108" s="1" t="s">
        <v>217</v>
      </c>
      <c r="E108" s="1" t="s">
        <v>18</v>
      </c>
      <c r="F108" s="5">
        <v>133086</v>
      </c>
      <c r="G108" s="1" t="s">
        <v>41</v>
      </c>
      <c r="H108" s="6">
        <v>3090</v>
      </c>
      <c r="I108" s="5">
        <v>36.5</v>
      </c>
      <c r="J108" s="5">
        <v>112785</v>
      </c>
    </row>
    <row r="109" spans="1:10" x14ac:dyDescent="0.25">
      <c r="A109" s="4">
        <v>46030</v>
      </c>
      <c r="B109" s="1" t="s">
        <v>218</v>
      </c>
      <c r="C109" s="1" t="s">
        <v>16</v>
      </c>
      <c r="D109" s="1" t="s">
        <v>103</v>
      </c>
      <c r="E109" s="1" t="s">
        <v>18</v>
      </c>
      <c r="F109" s="5">
        <v>335356</v>
      </c>
      <c r="G109" s="1" t="s">
        <v>41</v>
      </c>
      <c r="H109" s="6">
        <v>7840</v>
      </c>
      <c r="I109" s="5">
        <v>36.25</v>
      </c>
      <c r="J109" s="5">
        <v>284200</v>
      </c>
    </row>
    <row r="110" spans="1:10" x14ac:dyDescent="0.25">
      <c r="A110" s="4">
        <v>46033</v>
      </c>
      <c r="B110" s="1" t="s">
        <v>219</v>
      </c>
      <c r="C110" s="1" t="s">
        <v>16</v>
      </c>
      <c r="D110" s="1" t="s">
        <v>110</v>
      </c>
      <c r="E110" s="1" t="s">
        <v>18</v>
      </c>
      <c r="F110" s="5">
        <v>419071</v>
      </c>
      <c r="G110" s="1" t="s">
        <v>41</v>
      </c>
      <c r="H110" s="6">
        <v>9730</v>
      </c>
      <c r="I110" s="5">
        <v>36.5</v>
      </c>
      <c r="J110" s="5">
        <v>355145</v>
      </c>
    </row>
    <row r="111" spans="1:10" x14ac:dyDescent="0.25">
      <c r="A111" s="4">
        <v>46033</v>
      </c>
      <c r="B111" s="1" t="s">
        <v>220</v>
      </c>
      <c r="C111" s="1" t="s">
        <v>16</v>
      </c>
      <c r="D111" s="1" t="s">
        <v>103</v>
      </c>
      <c r="E111" s="1" t="s">
        <v>18</v>
      </c>
      <c r="F111" s="5">
        <v>357682</v>
      </c>
      <c r="G111" s="1" t="s">
        <v>41</v>
      </c>
      <c r="H111" s="6">
        <v>8420</v>
      </c>
      <c r="I111" s="5">
        <v>36</v>
      </c>
      <c r="J111" s="5">
        <v>303120</v>
      </c>
    </row>
    <row r="112" spans="1:10" x14ac:dyDescent="0.25">
      <c r="A112" s="4">
        <v>46034</v>
      </c>
      <c r="B112" s="1" t="s">
        <v>221</v>
      </c>
      <c r="C112" s="1" t="s">
        <v>16</v>
      </c>
      <c r="D112" s="1" t="s">
        <v>152</v>
      </c>
      <c r="E112" s="1" t="s">
        <v>18</v>
      </c>
      <c r="F112" s="5">
        <v>368302</v>
      </c>
      <c r="G112" s="1" t="s">
        <v>41</v>
      </c>
      <c r="H112" s="6">
        <v>8670</v>
      </c>
      <c r="I112" s="5">
        <v>36</v>
      </c>
      <c r="J112" s="5">
        <v>312120</v>
      </c>
    </row>
    <row r="113" spans="1:10" x14ac:dyDescent="0.25">
      <c r="A113" s="4">
        <v>46042</v>
      </c>
      <c r="B113" s="1" t="s">
        <v>222</v>
      </c>
      <c r="C113" s="1" t="s">
        <v>16</v>
      </c>
      <c r="D113" s="1" t="s">
        <v>103</v>
      </c>
      <c r="E113" s="1" t="s">
        <v>18</v>
      </c>
      <c r="F113" s="5">
        <v>391630</v>
      </c>
      <c r="G113" s="1" t="s">
        <v>41</v>
      </c>
      <c r="H113" s="6">
        <v>8970</v>
      </c>
      <c r="I113" s="5">
        <v>37</v>
      </c>
      <c r="J113" s="5">
        <v>331890</v>
      </c>
    </row>
    <row r="114" spans="1:10" x14ac:dyDescent="0.25">
      <c r="A114" s="4">
        <v>46044</v>
      </c>
      <c r="B114" s="1" t="s">
        <v>223</v>
      </c>
      <c r="C114" s="1" t="s">
        <v>16</v>
      </c>
      <c r="D114" s="1" t="s">
        <v>43</v>
      </c>
      <c r="E114" s="1" t="s">
        <v>18</v>
      </c>
      <c r="F114" s="5">
        <v>188948</v>
      </c>
      <c r="G114" s="1" t="s">
        <v>44</v>
      </c>
      <c r="H114" s="6">
        <v>5250</v>
      </c>
      <c r="I114" s="5">
        <v>30.5</v>
      </c>
      <c r="J114" s="5">
        <v>160125</v>
      </c>
    </row>
    <row r="115" spans="1:10" x14ac:dyDescent="0.25">
      <c r="A115" s="4">
        <v>46044</v>
      </c>
      <c r="B115" s="1" t="s">
        <v>224</v>
      </c>
      <c r="C115" s="1" t="s">
        <v>16</v>
      </c>
      <c r="D115" s="1" t="s">
        <v>152</v>
      </c>
      <c r="E115" s="1" t="s">
        <v>18</v>
      </c>
      <c r="F115" s="5">
        <v>398091</v>
      </c>
      <c r="G115" s="1" t="s">
        <v>41</v>
      </c>
      <c r="H115" s="6">
        <v>9180</v>
      </c>
      <c r="I115" s="5">
        <v>36.75</v>
      </c>
      <c r="J115" s="5">
        <v>337365</v>
      </c>
    </row>
    <row r="116" spans="1:10" x14ac:dyDescent="0.25">
      <c r="A116" s="4">
        <v>46049</v>
      </c>
      <c r="B116" s="1" t="s">
        <v>225</v>
      </c>
      <c r="C116" s="1" t="s">
        <v>16</v>
      </c>
      <c r="D116" s="1" t="s">
        <v>43</v>
      </c>
      <c r="E116" s="1" t="s">
        <v>18</v>
      </c>
      <c r="F116" s="5">
        <v>82417</v>
      </c>
      <c r="G116" s="1" t="s">
        <v>44</v>
      </c>
      <c r="H116" s="6">
        <v>2290</v>
      </c>
      <c r="I116" s="5">
        <v>30.5</v>
      </c>
      <c r="J116" s="5">
        <v>69845</v>
      </c>
    </row>
    <row r="117" spans="1:10" x14ac:dyDescent="0.25">
      <c r="A117" s="4">
        <v>46049</v>
      </c>
      <c r="B117" s="1" t="s">
        <v>226</v>
      </c>
      <c r="C117" s="1" t="s">
        <v>16</v>
      </c>
      <c r="D117" s="1" t="s">
        <v>227</v>
      </c>
      <c r="E117" s="1" t="s">
        <v>18</v>
      </c>
      <c r="F117" s="5">
        <v>371258</v>
      </c>
      <c r="G117" s="1" t="s">
        <v>41</v>
      </c>
      <c r="H117" s="6">
        <v>8390</v>
      </c>
      <c r="I117" s="5">
        <v>37.5</v>
      </c>
      <c r="J117" s="5">
        <v>314625</v>
      </c>
    </row>
    <row r="118" spans="1:10" x14ac:dyDescent="0.25">
      <c r="A118" s="4">
        <v>46053</v>
      </c>
      <c r="B118" s="1" t="s">
        <v>228</v>
      </c>
      <c r="C118" s="1" t="s">
        <v>16</v>
      </c>
      <c r="D118" s="1" t="s">
        <v>110</v>
      </c>
      <c r="E118" s="1" t="s">
        <v>18</v>
      </c>
      <c r="F118" s="5">
        <v>374798</v>
      </c>
      <c r="G118" s="1" t="s">
        <v>41</v>
      </c>
      <c r="H118" s="6">
        <v>8470</v>
      </c>
      <c r="I118" s="5">
        <v>37.5</v>
      </c>
      <c r="J118" s="5">
        <v>317625</v>
      </c>
    </row>
    <row r="119" spans="1:10" x14ac:dyDescent="0.25">
      <c r="A119" s="4">
        <v>46053</v>
      </c>
      <c r="B119" s="1" t="s">
        <v>229</v>
      </c>
      <c r="C119" s="1" t="s">
        <v>16</v>
      </c>
      <c r="D119" s="1" t="s">
        <v>152</v>
      </c>
      <c r="E119" s="1" t="s">
        <v>18</v>
      </c>
      <c r="F119" s="5">
        <v>308310</v>
      </c>
      <c r="G119" s="1" t="s">
        <v>41</v>
      </c>
      <c r="H119" s="6">
        <v>7100</v>
      </c>
      <c r="I119" s="5">
        <v>36.799999999999997</v>
      </c>
      <c r="J119" s="5">
        <v>261280</v>
      </c>
    </row>
    <row r="120" spans="1:10" x14ac:dyDescent="0.25">
      <c r="A120" s="4">
        <v>46054</v>
      </c>
      <c r="B120" s="1" t="s">
        <v>230</v>
      </c>
      <c r="C120" s="1" t="s">
        <v>16</v>
      </c>
      <c r="D120" s="1" t="s">
        <v>201</v>
      </c>
      <c r="E120" s="1" t="s">
        <v>18</v>
      </c>
      <c r="F120" s="5">
        <v>249638</v>
      </c>
      <c r="G120" s="1" t="s">
        <v>215</v>
      </c>
      <c r="H120" s="6">
        <v>5390</v>
      </c>
      <c r="I120" s="5">
        <v>39.25</v>
      </c>
      <c r="J120" s="5">
        <v>211557.5</v>
      </c>
    </row>
    <row r="121" spans="1:10" x14ac:dyDescent="0.25">
      <c r="A121" s="4">
        <v>46060</v>
      </c>
      <c r="B121" s="1" t="s">
        <v>231</v>
      </c>
      <c r="C121" s="1" t="s">
        <v>16</v>
      </c>
      <c r="D121" s="1" t="s">
        <v>201</v>
      </c>
      <c r="E121" s="1" t="s">
        <v>18</v>
      </c>
      <c r="F121" s="5">
        <v>264922</v>
      </c>
      <c r="G121" s="1" t="s">
        <v>215</v>
      </c>
      <c r="H121" s="6">
        <v>5720</v>
      </c>
      <c r="I121" s="5">
        <v>39.25</v>
      </c>
      <c r="J121" s="5">
        <v>224510</v>
      </c>
    </row>
    <row r="122" spans="1:10" x14ac:dyDescent="0.25">
      <c r="A122" s="4">
        <v>46061</v>
      </c>
      <c r="B122" s="1" t="s">
        <v>232</v>
      </c>
      <c r="C122" s="1" t="s">
        <v>16</v>
      </c>
      <c r="D122" s="1" t="s">
        <v>17</v>
      </c>
      <c r="E122" s="1" t="s">
        <v>18</v>
      </c>
      <c r="F122" s="5">
        <v>1120752</v>
      </c>
      <c r="G122" s="1" t="s">
        <v>41</v>
      </c>
      <c r="H122" s="6">
        <v>25670</v>
      </c>
      <c r="I122" s="5">
        <v>37</v>
      </c>
      <c r="J122" s="5">
        <v>949790</v>
      </c>
    </row>
    <row r="123" spans="1:10" x14ac:dyDescent="0.25">
      <c r="A123" s="4">
        <v>46062</v>
      </c>
      <c r="B123" s="1" t="s">
        <v>233</v>
      </c>
      <c r="C123" s="1" t="s">
        <v>16</v>
      </c>
      <c r="D123" s="1" t="s">
        <v>103</v>
      </c>
      <c r="E123" s="1" t="s">
        <v>18</v>
      </c>
      <c r="F123" s="5">
        <v>334058</v>
      </c>
      <c r="G123" s="1" t="s">
        <v>41</v>
      </c>
      <c r="H123" s="6">
        <v>7600</v>
      </c>
      <c r="I123" s="5">
        <v>37.25</v>
      </c>
      <c r="J123" s="5">
        <v>283100</v>
      </c>
    </row>
    <row r="124" spans="1:10" x14ac:dyDescent="0.25">
      <c r="A124" s="4">
        <v>46062</v>
      </c>
      <c r="B124" s="1" t="s">
        <v>234</v>
      </c>
      <c r="C124" s="1" t="s">
        <v>16</v>
      </c>
      <c r="D124" s="1" t="s">
        <v>152</v>
      </c>
      <c r="E124" s="1" t="s">
        <v>18</v>
      </c>
      <c r="F124" s="5">
        <v>296586</v>
      </c>
      <c r="G124" s="1" t="s">
        <v>41</v>
      </c>
      <c r="H124" s="6">
        <v>6830</v>
      </c>
      <c r="I124" s="5">
        <v>36.799999999999997</v>
      </c>
      <c r="J124" s="5">
        <v>251344</v>
      </c>
    </row>
    <row r="125" spans="1:10" x14ac:dyDescent="0.25">
      <c r="A125" s="4">
        <v>46067</v>
      </c>
      <c r="B125" s="1" t="s">
        <v>235</v>
      </c>
      <c r="C125" s="1" t="s">
        <v>16</v>
      </c>
      <c r="D125" s="1" t="s">
        <v>236</v>
      </c>
      <c r="E125" s="1" t="s">
        <v>18</v>
      </c>
      <c r="F125" s="5">
        <v>446837</v>
      </c>
      <c r="G125" s="1" t="s">
        <v>41</v>
      </c>
      <c r="H125" s="6">
        <v>9900</v>
      </c>
      <c r="I125" s="5">
        <v>38.25</v>
      </c>
      <c r="J125" s="5">
        <v>378675</v>
      </c>
    </row>
    <row r="126" spans="1:10" x14ac:dyDescent="0.25">
      <c r="A126" s="4">
        <v>46068</v>
      </c>
      <c r="B126" s="1" t="s">
        <v>237</v>
      </c>
      <c r="C126" s="1" t="s">
        <v>16</v>
      </c>
      <c r="D126" s="1" t="s">
        <v>152</v>
      </c>
      <c r="E126" s="1" t="s">
        <v>18</v>
      </c>
      <c r="F126" s="5">
        <v>294059</v>
      </c>
      <c r="G126" s="1" t="s">
        <v>41</v>
      </c>
      <c r="H126" s="6">
        <v>6690</v>
      </c>
      <c r="I126" s="5">
        <v>37.25</v>
      </c>
      <c r="J126" s="5">
        <v>249202.5</v>
      </c>
    </row>
    <row r="127" spans="1:10" x14ac:dyDescent="0.25">
      <c r="A127" s="4">
        <v>46069</v>
      </c>
      <c r="B127" s="1" t="s">
        <v>238</v>
      </c>
      <c r="C127" s="1" t="s">
        <v>16</v>
      </c>
      <c r="D127" s="1" t="s">
        <v>125</v>
      </c>
      <c r="E127" s="1" t="s">
        <v>18</v>
      </c>
      <c r="F127" s="5">
        <v>139016</v>
      </c>
      <c r="G127" s="1" t="s">
        <v>41</v>
      </c>
      <c r="H127" s="6">
        <v>3080</v>
      </c>
      <c r="I127" s="5">
        <v>38.25</v>
      </c>
      <c r="J127" s="5">
        <v>117810</v>
      </c>
    </row>
    <row r="128" spans="1:10" x14ac:dyDescent="0.25">
      <c r="A128" s="4">
        <v>46070</v>
      </c>
      <c r="B128" s="1" t="s">
        <v>239</v>
      </c>
      <c r="C128" s="1" t="s">
        <v>16</v>
      </c>
      <c r="D128" s="1" t="s">
        <v>201</v>
      </c>
      <c r="E128" s="1" t="s">
        <v>18</v>
      </c>
      <c r="F128" s="5">
        <v>259364</v>
      </c>
      <c r="G128" s="1" t="s">
        <v>215</v>
      </c>
      <c r="H128" s="6">
        <v>5600</v>
      </c>
      <c r="I128" s="5">
        <v>39.25</v>
      </c>
      <c r="J128" s="5">
        <v>219800</v>
      </c>
    </row>
    <row r="129" spans="1:10" x14ac:dyDescent="0.25">
      <c r="A129" s="4">
        <v>46072</v>
      </c>
      <c r="B129" s="1" t="s">
        <v>240</v>
      </c>
      <c r="C129" s="1" t="s">
        <v>16</v>
      </c>
      <c r="D129" s="1" t="s">
        <v>103</v>
      </c>
      <c r="E129" s="1" t="s">
        <v>18</v>
      </c>
      <c r="F129" s="5">
        <v>298245</v>
      </c>
      <c r="G129" s="1" t="s">
        <v>41</v>
      </c>
      <c r="H129" s="6">
        <v>6740</v>
      </c>
      <c r="I129" s="5">
        <v>37.5</v>
      </c>
      <c r="J129" s="5">
        <v>252750</v>
      </c>
    </row>
    <row r="130" spans="1:10" x14ac:dyDescent="0.25">
      <c r="A130" s="4">
        <v>46073</v>
      </c>
      <c r="B130" s="1" t="s">
        <v>241</v>
      </c>
      <c r="C130" s="1" t="s">
        <v>16</v>
      </c>
      <c r="D130" s="1" t="s">
        <v>112</v>
      </c>
      <c r="E130" s="1" t="s">
        <v>18</v>
      </c>
      <c r="F130" s="5">
        <v>269235</v>
      </c>
      <c r="G130" s="1" t="s">
        <v>215</v>
      </c>
      <c r="H130" s="6">
        <v>5740</v>
      </c>
      <c r="I130" s="5">
        <v>39.75</v>
      </c>
      <c r="J130" s="5">
        <v>228165</v>
      </c>
    </row>
    <row r="131" spans="1:10" x14ac:dyDescent="0.25">
      <c r="A131" s="4">
        <v>46074</v>
      </c>
      <c r="B131" s="1" t="s">
        <v>242</v>
      </c>
      <c r="C131" s="1" t="s">
        <v>16</v>
      </c>
      <c r="D131" s="1" t="s">
        <v>110</v>
      </c>
      <c r="E131" s="1" t="s">
        <v>18</v>
      </c>
      <c r="F131" s="5">
        <v>246710</v>
      </c>
      <c r="G131" s="1" t="s">
        <v>215</v>
      </c>
      <c r="H131" s="6">
        <v>5320</v>
      </c>
      <c r="I131" s="5">
        <v>39.299999999999997</v>
      </c>
      <c r="J131" s="5">
        <v>209076</v>
      </c>
    </row>
    <row r="132" spans="1:10" x14ac:dyDescent="0.25">
      <c r="A132" s="4">
        <v>46075</v>
      </c>
      <c r="B132" s="1" t="s">
        <v>243</v>
      </c>
      <c r="C132" s="1" t="s">
        <v>16</v>
      </c>
      <c r="D132" s="1" t="s">
        <v>152</v>
      </c>
      <c r="E132" s="1" t="s">
        <v>18</v>
      </c>
      <c r="F132" s="5">
        <v>236295</v>
      </c>
      <c r="G132" s="1" t="s">
        <v>41</v>
      </c>
      <c r="H132" s="6">
        <v>5340</v>
      </c>
      <c r="I132" s="5">
        <v>37.5</v>
      </c>
      <c r="J132" s="5">
        <v>200250</v>
      </c>
    </row>
    <row r="133" spans="1:10" x14ac:dyDescent="0.25">
      <c r="A133" s="4">
        <v>46076</v>
      </c>
      <c r="B133" s="1" t="s">
        <v>244</v>
      </c>
      <c r="C133" s="1" t="s">
        <v>16</v>
      </c>
      <c r="D133" s="1" t="s">
        <v>236</v>
      </c>
      <c r="E133" s="1" t="s">
        <v>18</v>
      </c>
      <c r="F133" s="5">
        <v>256355</v>
      </c>
      <c r="G133" s="1" t="s">
        <v>215</v>
      </c>
      <c r="H133" s="6">
        <v>5500</v>
      </c>
      <c r="I133" s="5">
        <v>39.5</v>
      </c>
      <c r="J133" s="5">
        <v>217250</v>
      </c>
    </row>
    <row r="134" spans="1:10" x14ac:dyDescent="0.25">
      <c r="A134" s="4">
        <v>46077</v>
      </c>
      <c r="B134" s="1" t="s">
        <v>245</v>
      </c>
      <c r="C134" s="1" t="s">
        <v>16</v>
      </c>
      <c r="D134" s="1" t="s">
        <v>201</v>
      </c>
      <c r="E134" s="1" t="s">
        <v>18</v>
      </c>
      <c r="F134" s="5">
        <v>265385</v>
      </c>
      <c r="G134" s="1" t="s">
        <v>215</v>
      </c>
      <c r="H134" s="6">
        <v>5730</v>
      </c>
      <c r="I134" s="5">
        <v>39.25</v>
      </c>
      <c r="J134" s="5">
        <v>224902.5</v>
      </c>
    </row>
    <row r="135" spans="1:10" x14ac:dyDescent="0.25">
      <c r="A135" s="4">
        <v>46077</v>
      </c>
      <c r="B135" s="1" t="s">
        <v>246</v>
      </c>
      <c r="C135" s="1" t="s">
        <v>16</v>
      </c>
      <c r="D135" s="1" t="s">
        <v>236</v>
      </c>
      <c r="E135" s="1" t="s">
        <v>18</v>
      </c>
      <c r="F135" s="5">
        <v>278728</v>
      </c>
      <c r="G135" s="1" t="s">
        <v>215</v>
      </c>
      <c r="H135" s="6">
        <v>5980</v>
      </c>
      <c r="I135" s="5">
        <v>39.5</v>
      </c>
      <c r="J135" s="5">
        <v>236210</v>
      </c>
    </row>
    <row r="136" spans="1:10" x14ac:dyDescent="0.25">
      <c r="A136" s="4">
        <v>46080</v>
      </c>
      <c r="B136" s="1" t="s">
        <v>247</v>
      </c>
      <c r="C136" s="1" t="s">
        <v>16</v>
      </c>
      <c r="D136" s="1" t="s">
        <v>152</v>
      </c>
      <c r="E136" s="1" t="s">
        <v>18</v>
      </c>
      <c r="F136" s="5">
        <v>329663</v>
      </c>
      <c r="G136" s="1" t="s">
        <v>41</v>
      </c>
      <c r="H136" s="6">
        <v>7450</v>
      </c>
      <c r="I136" s="5">
        <v>37.5</v>
      </c>
      <c r="J136" s="5">
        <v>279375</v>
      </c>
    </row>
    <row r="137" spans="1:10" x14ac:dyDescent="0.25">
      <c r="A137" s="4">
        <v>46080</v>
      </c>
      <c r="B137" s="1" t="s">
        <v>248</v>
      </c>
      <c r="C137" s="1" t="s">
        <v>16</v>
      </c>
      <c r="D137" s="1" t="s">
        <v>236</v>
      </c>
      <c r="E137" s="1" t="s">
        <v>18</v>
      </c>
      <c r="F137" s="5">
        <v>265211</v>
      </c>
      <c r="G137" s="1" t="s">
        <v>215</v>
      </c>
      <c r="H137" s="6">
        <v>5690</v>
      </c>
      <c r="I137" s="5">
        <v>39.5</v>
      </c>
      <c r="J137" s="5">
        <v>224755</v>
      </c>
    </row>
    <row r="138" spans="1:10" x14ac:dyDescent="0.25">
      <c r="A138" s="4">
        <v>46082</v>
      </c>
      <c r="B138" s="1" t="s">
        <v>249</v>
      </c>
      <c r="C138" s="1" t="s">
        <v>16</v>
      </c>
      <c r="D138" s="1" t="s">
        <v>236</v>
      </c>
      <c r="E138" s="1" t="s">
        <v>18</v>
      </c>
      <c r="F138" s="5">
        <v>232118</v>
      </c>
      <c r="G138" s="1" t="s">
        <v>215</v>
      </c>
      <c r="H138" s="6">
        <v>4980</v>
      </c>
      <c r="I138" s="5">
        <v>39.5</v>
      </c>
      <c r="J138" s="5">
        <v>196710</v>
      </c>
    </row>
    <row r="139" spans="1:10" x14ac:dyDescent="0.25">
      <c r="A139" s="4">
        <v>46083</v>
      </c>
      <c r="B139" s="1" t="s">
        <v>250</v>
      </c>
      <c r="C139" s="1" t="s">
        <v>16</v>
      </c>
      <c r="D139" s="1" t="s">
        <v>110</v>
      </c>
      <c r="E139" s="1" t="s">
        <v>18</v>
      </c>
      <c r="F139" s="5">
        <v>140541</v>
      </c>
      <c r="G139" s="1" t="s">
        <v>251</v>
      </c>
      <c r="H139" s="6">
        <v>3050</v>
      </c>
      <c r="I139" s="5">
        <v>39.049999999999997</v>
      </c>
      <c r="J139" s="5">
        <v>119102.5</v>
      </c>
    </row>
    <row r="140" spans="1:10" x14ac:dyDescent="0.25">
      <c r="A140" s="4">
        <v>46083</v>
      </c>
      <c r="B140" s="1" t="s">
        <v>252</v>
      </c>
      <c r="C140" s="1" t="s">
        <v>16</v>
      </c>
      <c r="D140" s="1" t="s">
        <v>201</v>
      </c>
      <c r="E140" s="1" t="s">
        <v>18</v>
      </c>
      <c r="F140" s="5">
        <v>237339</v>
      </c>
      <c r="G140" s="1" t="s">
        <v>215</v>
      </c>
      <c r="H140" s="6">
        <v>5060</v>
      </c>
      <c r="I140" s="5">
        <v>39.75</v>
      </c>
      <c r="J140" s="5">
        <v>201135</v>
      </c>
    </row>
    <row r="141" spans="1:10" x14ac:dyDescent="0.25">
      <c r="A141" s="4">
        <v>46083</v>
      </c>
      <c r="B141" s="1" t="s">
        <v>253</v>
      </c>
      <c r="C141" s="1" t="s">
        <v>16</v>
      </c>
      <c r="D141" s="1" t="s">
        <v>236</v>
      </c>
      <c r="E141" s="1" t="s">
        <v>18</v>
      </c>
      <c r="F141" s="5">
        <v>268062</v>
      </c>
      <c r="G141" s="1" t="s">
        <v>215</v>
      </c>
      <c r="H141" s="6">
        <v>5810</v>
      </c>
      <c r="I141" s="5">
        <v>39.1</v>
      </c>
      <c r="J141" s="5">
        <v>227171</v>
      </c>
    </row>
    <row r="142" spans="1:10" x14ac:dyDescent="0.25">
      <c r="A142" s="4">
        <v>46084</v>
      </c>
      <c r="B142" s="1" t="s">
        <v>254</v>
      </c>
      <c r="C142" s="1" t="s">
        <v>16</v>
      </c>
      <c r="D142" s="1" t="s">
        <v>236</v>
      </c>
      <c r="E142" s="1" t="s">
        <v>18</v>
      </c>
      <c r="F142" s="5">
        <v>300820</v>
      </c>
      <c r="G142" s="1" t="s">
        <v>215</v>
      </c>
      <c r="H142" s="6">
        <v>6520</v>
      </c>
      <c r="I142" s="5">
        <v>39.1</v>
      </c>
      <c r="J142" s="5">
        <v>254932</v>
      </c>
    </row>
    <row r="143" spans="1:10" x14ac:dyDescent="0.25">
      <c r="A143" s="4">
        <v>46087</v>
      </c>
      <c r="B143" s="1" t="s">
        <v>255</v>
      </c>
      <c r="C143" s="1" t="s">
        <v>16</v>
      </c>
      <c r="D143" s="1" t="s">
        <v>103</v>
      </c>
      <c r="E143" s="1" t="s">
        <v>18</v>
      </c>
      <c r="F143" s="5">
        <v>208954</v>
      </c>
      <c r="G143" s="1" t="s">
        <v>41</v>
      </c>
      <c r="H143" s="6">
        <v>4660</v>
      </c>
      <c r="I143" s="5">
        <v>38</v>
      </c>
      <c r="J143" s="5">
        <v>177080</v>
      </c>
    </row>
    <row r="144" spans="1:10" x14ac:dyDescent="0.25">
      <c r="A144" s="4">
        <v>46087</v>
      </c>
      <c r="B144" s="1" t="s">
        <v>256</v>
      </c>
      <c r="C144" s="1" t="s">
        <v>16</v>
      </c>
      <c r="D144" s="1" t="s">
        <v>125</v>
      </c>
      <c r="E144" s="1" t="s">
        <v>18</v>
      </c>
      <c r="F144" s="5">
        <v>150751</v>
      </c>
      <c r="G144" s="1" t="s">
        <v>41</v>
      </c>
      <c r="H144" s="6">
        <v>3340</v>
      </c>
      <c r="I144" s="5">
        <v>38.25</v>
      </c>
      <c r="J144" s="5">
        <v>127755</v>
      </c>
    </row>
    <row r="145" spans="1:10" x14ac:dyDescent="0.25">
      <c r="A145" s="4">
        <v>46087</v>
      </c>
      <c r="B145" s="1" t="s">
        <v>257</v>
      </c>
      <c r="C145" s="1" t="s">
        <v>16</v>
      </c>
      <c r="D145" s="1" t="s">
        <v>152</v>
      </c>
      <c r="E145" s="1" t="s">
        <v>18</v>
      </c>
      <c r="F145" s="5">
        <v>341610</v>
      </c>
      <c r="G145" s="1" t="s">
        <v>41</v>
      </c>
      <c r="H145" s="6">
        <v>7720</v>
      </c>
      <c r="I145" s="5">
        <v>37.5</v>
      </c>
      <c r="J145" s="5">
        <v>289500</v>
      </c>
    </row>
    <row r="146" spans="1:10" x14ac:dyDescent="0.25">
      <c r="A146" s="4">
        <v>46089</v>
      </c>
      <c r="B146" s="1" t="s">
        <v>258</v>
      </c>
      <c r="C146" s="1" t="s">
        <v>16</v>
      </c>
      <c r="D146" s="1" t="s">
        <v>201</v>
      </c>
      <c r="E146" s="1" t="s">
        <v>18</v>
      </c>
      <c r="F146" s="5">
        <v>215763</v>
      </c>
      <c r="G146" s="1" t="s">
        <v>215</v>
      </c>
      <c r="H146" s="6">
        <v>4600</v>
      </c>
      <c r="I146" s="5">
        <v>39.75</v>
      </c>
      <c r="J146" s="5">
        <v>182850</v>
      </c>
    </row>
    <row r="147" spans="1:10" x14ac:dyDescent="0.25">
      <c r="A147" s="4">
        <v>46095</v>
      </c>
      <c r="B147" s="1" t="s">
        <v>259</v>
      </c>
      <c r="C147" s="1" t="s">
        <v>16</v>
      </c>
      <c r="D147" s="1" t="s">
        <v>201</v>
      </c>
      <c r="E147" s="1" t="s">
        <v>18</v>
      </c>
      <c r="F147" s="5">
        <v>252954</v>
      </c>
      <c r="G147" s="1" t="s">
        <v>215</v>
      </c>
      <c r="H147" s="6">
        <v>5280</v>
      </c>
      <c r="I147" s="5">
        <v>40.6</v>
      </c>
      <c r="J147" s="5">
        <v>214368</v>
      </c>
    </row>
    <row r="148" spans="1:10" x14ac:dyDescent="0.25">
      <c r="A148" s="4">
        <v>46095</v>
      </c>
      <c r="B148" s="1" t="s">
        <v>260</v>
      </c>
      <c r="C148" s="1" t="s">
        <v>16</v>
      </c>
      <c r="D148" s="1" t="s">
        <v>152</v>
      </c>
      <c r="E148" s="1" t="s">
        <v>18</v>
      </c>
      <c r="F148" s="5">
        <v>347805</v>
      </c>
      <c r="G148" s="1" t="s">
        <v>41</v>
      </c>
      <c r="H148" s="6">
        <v>7860</v>
      </c>
      <c r="I148" s="5">
        <v>37.5</v>
      </c>
      <c r="J148" s="5">
        <v>294750</v>
      </c>
    </row>
    <row r="149" spans="1:10" x14ac:dyDescent="0.25">
      <c r="A149" s="4">
        <v>46100</v>
      </c>
      <c r="B149" s="1" t="s">
        <v>261</v>
      </c>
      <c r="C149" s="1" t="s">
        <v>16</v>
      </c>
      <c r="D149" s="1" t="s">
        <v>152</v>
      </c>
      <c r="E149" s="1" t="s">
        <v>18</v>
      </c>
      <c r="F149" s="5">
        <v>373028</v>
      </c>
      <c r="G149" s="1" t="s">
        <v>41</v>
      </c>
      <c r="H149" s="6">
        <v>8430</v>
      </c>
      <c r="I149" s="5">
        <v>37.5</v>
      </c>
      <c r="J149" s="5">
        <v>316125</v>
      </c>
    </row>
    <row r="150" spans="1:10" x14ac:dyDescent="0.25">
      <c r="A150" s="4">
        <v>46102</v>
      </c>
      <c r="B150" s="1" t="s">
        <v>262</v>
      </c>
      <c r="C150" s="1" t="s">
        <v>16</v>
      </c>
      <c r="D150" s="1" t="s">
        <v>201</v>
      </c>
      <c r="E150" s="1" t="s">
        <v>18</v>
      </c>
      <c r="F150" s="5">
        <v>278345</v>
      </c>
      <c r="G150" s="1" t="s">
        <v>215</v>
      </c>
      <c r="H150" s="6">
        <v>5810</v>
      </c>
      <c r="I150" s="5">
        <v>40.6</v>
      </c>
      <c r="J150" s="5">
        <v>235886</v>
      </c>
    </row>
    <row r="151" spans="1:10" x14ac:dyDescent="0.25">
      <c r="A151" s="4">
        <v>46103</v>
      </c>
      <c r="B151" s="1" t="s">
        <v>263</v>
      </c>
      <c r="C151" s="1" t="s">
        <v>16</v>
      </c>
      <c r="D151" s="1" t="s">
        <v>227</v>
      </c>
      <c r="E151" s="1" t="s">
        <v>18</v>
      </c>
      <c r="F151" s="5">
        <v>209303</v>
      </c>
      <c r="G151" s="1" t="s">
        <v>191</v>
      </c>
      <c r="H151" s="6">
        <v>4730</v>
      </c>
      <c r="I151" s="5">
        <v>37.5</v>
      </c>
      <c r="J151" s="5">
        <v>177375</v>
      </c>
    </row>
    <row r="152" spans="1:10" x14ac:dyDescent="0.25">
      <c r="A152" s="4">
        <v>46107</v>
      </c>
      <c r="B152" s="1" t="s">
        <v>264</v>
      </c>
      <c r="C152" s="1" t="s">
        <v>16</v>
      </c>
      <c r="D152" s="1" t="s">
        <v>201</v>
      </c>
      <c r="E152" s="1" t="s">
        <v>18</v>
      </c>
      <c r="F152" s="5">
        <v>270201</v>
      </c>
      <c r="G152" s="1" t="s">
        <v>215</v>
      </c>
      <c r="H152" s="6">
        <v>5640</v>
      </c>
      <c r="I152" s="5">
        <v>40.6</v>
      </c>
      <c r="J152" s="5">
        <v>228984</v>
      </c>
    </row>
    <row r="153" spans="1:10" x14ac:dyDescent="0.25">
      <c r="A153" s="4">
        <v>46107</v>
      </c>
      <c r="B153" s="1" t="s">
        <v>265</v>
      </c>
      <c r="C153" s="1" t="s">
        <v>16</v>
      </c>
      <c r="D153" s="1" t="s">
        <v>201</v>
      </c>
      <c r="E153" s="1" t="s">
        <v>18</v>
      </c>
      <c r="F153" s="5">
        <v>264931</v>
      </c>
      <c r="G153" s="1" t="s">
        <v>215</v>
      </c>
      <c r="H153" s="6">
        <v>5530</v>
      </c>
      <c r="I153" s="5">
        <v>40.6</v>
      </c>
      <c r="J153" s="5">
        <v>224518</v>
      </c>
    </row>
    <row r="154" spans="1:10" x14ac:dyDescent="0.25">
      <c r="A154" s="4">
        <v>46109</v>
      </c>
      <c r="B154" s="1" t="s">
        <v>266</v>
      </c>
      <c r="C154" s="1" t="s">
        <v>16</v>
      </c>
      <c r="D154" s="1" t="s">
        <v>112</v>
      </c>
      <c r="E154" s="1" t="s">
        <v>18</v>
      </c>
      <c r="F154" s="5">
        <v>207833</v>
      </c>
      <c r="G154" s="1" t="s">
        <v>191</v>
      </c>
      <c r="H154" s="6">
        <v>4635</v>
      </c>
      <c r="I154" s="5">
        <v>38</v>
      </c>
      <c r="J154" s="5">
        <v>176130</v>
      </c>
    </row>
    <row r="155" spans="1:10" x14ac:dyDescent="0.25">
      <c r="A155" s="4">
        <v>46109</v>
      </c>
      <c r="B155" s="1" t="s">
        <v>267</v>
      </c>
      <c r="C155" s="1" t="s">
        <v>16</v>
      </c>
      <c r="D155" s="1" t="s">
        <v>227</v>
      </c>
      <c r="E155" s="1" t="s">
        <v>18</v>
      </c>
      <c r="F155" s="5">
        <v>350672</v>
      </c>
      <c r="G155" s="1" t="s">
        <v>41</v>
      </c>
      <c r="H155" s="6">
        <v>7620</v>
      </c>
      <c r="I155" s="5">
        <v>39</v>
      </c>
      <c r="J155" s="5">
        <v>297180</v>
      </c>
    </row>
    <row r="156" spans="1:10" x14ac:dyDescent="0.25">
      <c r="A156" s="4">
        <v>46112</v>
      </c>
      <c r="B156" s="1" t="s">
        <v>268</v>
      </c>
      <c r="C156" s="1" t="s">
        <v>16</v>
      </c>
      <c r="D156" s="1" t="s">
        <v>269</v>
      </c>
      <c r="E156" s="1" t="s">
        <v>18</v>
      </c>
      <c r="F156" s="5">
        <v>346637</v>
      </c>
      <c r="G156" s="1" t="s">
        <v>41</v>
      </c>
      <c r="H156" s="6">
        <v>7680</v>
      </c>
      <c r="I156" s="5">
        <v>38.25</v>
      </c>
      <c r="J156" s="5">
        <v>293760</v>
      </c>
    </row>
    <row r="157" spans="1:10" x14ac:dyDescent="0.25">
      <c r="E157" s="7" t="s">
        <v>33</v>
      </c>
      <c r="F157" s="8">
        <v>52085425</v>
      </c>
      <c r="H157" s="9">
        <v>1236138</v>
      </c>
      <c r="J157" s="8">
        <v>44140187.5</v>
      </c>
    </row>
    <row r="159" spans="1:10" x14ac:dyDescent="0.25">
      <c r="F159" s="5">
        <v>330537</v>
      </c>
      <c r="H159" s="6">
        <v>7530</v>
      </c>
      <c r="J159" s="5">
        <v>280116</v>
      </c>
    </row>
    <row r="160" spans="1:10" x14ac:dyDescent="0.25">
      <c r="F160" s="5">
        <v>2307</v>
      </c>
      <c r="H160" s="6">
        <v>50</v>
      </c>
      <c r="J160" s="5">
        <v>1955</v>
      </c>
    </row>
    <row r="161" spans="6:10" x14ac:dyDescent="0.25">
      <c r="F161" s="5">
        <v>37385</v>
      </c>
      <c r="H161" s="6">
        <v>874</v>
      </c>
      <c r="J161" s="5">
        <v>31682.5</v>
      </c>
    </row>
    <row r="162" spans="6:10" x14ac:dyDescent="0.25">
      <c r="F162" s="19">
        <f>SUM(F159:F161)</f>
        <v>370229</v>
      </c>
      <c r="G162" s="12"/>
      <c r="H162" s="19">
        <f>SUM(H159:H161)</f>
        <v>8454</v>
      </c>
      <c r="I162" s="12"/>
      <c r="J162" s="19">
        <f>SUM(J159:J161)</f>
        <v>313753.5</v>
      </c>
    </row>
    <row r="164" spans="6:10" x14ac:dyDescent="0.25">
      <c r="F164" s="18">
        <f>+F157-F162</f>
        <v>51715196</v>
      </c>
      <c r="H164" s="18">
        <f>+H157-H162</f>
        <v>1227684</v>
      </c>
      <c r="J164" s="18">
        <f>+J157-J162</f>
        <v>43826434</v>
      </c>
    </row>
  </sheetData>
  <mergeCells count="6">
    <mergeCell ref="A6:J6"/>
    <mergeCell ref="A1:J1"/>
    <mergeCell ref="A2:J2"/>
    <mergeCell ref="A3:J3"/>
    <mergeCell ref="A4:J4"/>
    <mergeCell ref="A5:J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25EA-5BC0-4F6D-8BF2-ACBAC92BA549}">
  <dimension ref="A1:J41"/>
  <sheetViews>
    <sheetView topLeftCell="A18" workbookViewId="0">
      <selection activeCell="J41" sqref="J41"/>
    </sheetView>
  </sheetViews>
  <sheetFormatPr defaultRowHeight="15" x14ac:dyDescent="0.25"/>
  <cols>
    <col min="1" max="1" width="10.42578125" bestFit="1" customWidth="1"/>
    <col min="2" max="2" width="14.5703125" bestFit="1" customWidth="1"/>
    <col min="3" max="3" width="5.28515625" bestFit="1" customWidth="1"/>
    <col min="4" max="4" width="39" bestFit="1" customWidth="1"/>
    <col min="5" max="5" width="14.42578125" bestFit="1" customWidth="1"/>
    <col min="6" max="6" width="13.140625" bestFit="1" customWidth="1"/>
    <col min="7" max="7" width="32.5703125" bestFit="1" customWidth="1"/>
    <col min="8" max="8" width="13.140625" bestFit="1" customWidth="1"/>
    <col min="9" max="9" width="5.5703125" bestFit="1" customWidth="1"/>
    <col min="10" max="10" width="16" bestFit="1" customWidth="1"/>
  </cols>
  <sheetData>
    <row r="1" spans="1:10" ht="18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2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</row>
    <row r="3" spans="1:10" x14ac:dyDescent="0.25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</row>
    <row r="4" spans="1:10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 x14ac:dyDescent="0.25">
      <c r="A5" s="28" t="s">
        <v>3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x14ac:dyDescent="0.25">
      <c r="A6" s="24" t="s">
        <v>60</v>
      </c>
      <c r="B6" s="24"/>
      <c r="C6" s="24"/>
      <c r="D6" s="24"/>
      <c r="E6" s="24"/>
      <c r="F6" s="24"/>
      <c r="G6" s="24"/>
      <c r="H6" s="24"/>
      <c r="I6" s="24"/>
      <c r="J6" s="24"/>
    </row>
    <row r="7" spans="1:10" x14ac:dyDescent="0.2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3" t="s">
        <v>10</v>
      </c>
      <c r="G7" s="2" t="s">
        <v>11</v>
      </c>
      <c r="H7" s="3" t="s">
        <v>12</v>
      </c>
      <c r="I7" s="3" t="s">
        <v>13</v>
      </c>
      <c r="J7" s="3" t="s">
        <v>14</v>
      </c>
    </row>
    <row r="8" spans="1:10" x14ac:dyDescent="0.25">
      <c r="A8" s="4">
        <v>45765</v>
      </c>
      <c r="B8" s="1" t="s">
        <v>61</v>
      </c>
      <c r="C8" s="1" t="s">
        <v>16</v>
      </c>
      <c r="D8" s="1" t="s">
        <v>62</v>
      </c>
      <c r="E8" s="1" t="s">
        <v>63</v>
      </c>
      <c r="F8" s="5">
        <v>3472565</v>
      </c>
      <c r="G8" s="1" t="s">
        <v>64</v>
      </c>
      <c r="H8" s="6">
        <v>88318</v>
      </c>
      <c r="I8" s="5">
        <v>33.26</v>
      </c>
      <c r="J8" s="5">
        <v>2937809.95</v>
      </c>
    </row>
    <row r="9" spans="1:10" x14ac:dyDescent="0.25">
      <c r="A9" s="4">
        <v>45778</v>
      </c>
      <c r="B9" s="1" t="s">
        <v>65</v>
      </c>
      <c r="C9" s="1" t="s">
        <v>16</v>
      </c>
      <c r="D9" s="1" t="s">
        <v>62</v>
      </c>
      <c r="E9" s="1" t="s">
        <v>63</v>
      </c>
      <c r="F9" s="5">
        <v>2627602</v>
      </c>
      <c r="G9" s="1" t="s">
        <v>64</v>
      </c>
      <c r="H9" s="6">
        <v>66828</v>
      </c>
      <c r="I9" s="5">
        <v>33.26</v>
      </c>
      <c r="J9" s="5">
        <v>2222966.59</v>
      </c>
    </row>
    <row r="10" spans="1:10" x14ac:dyDescent="0.25">
      <c r="A10" s="4">
        <v>45782</v>
      </c>
      <c r="B10" s="1" t="s">
        <v>66</v>
      </c>
      <c r="C10" s="1" t="s">
        <v>16</v>
      </c>
      <c r="D10" s="1" t="s">
        <v>62</v>
      </c>
      <c r="E10" s="1" t="s">
        <v>63</v>
      </c>
      <c r="F10" s="5">
        <v>897965</v>
      </c>
      <c r="G10" s="1" t="s">
        <v>64</v>
      </c>
      <c r="H10" s="6">
        <v>22838</v>
      </c>
      <c r="I10" s="5">
        <v>33.26</v>
      </c>
      <c r="J10" s="5">
        <v>759683.23</v>
      </c>
    </row>
    <row r="11" spans="1:10" x14ac:dyDescent="0.25">
      <c r="A11" s="4">
        <v>45790</v>
      </c>
      <c r="B11" s="1" t="s">
        <v>65</v>
      </c>
      <c r="C11" s="1" t="s">
        <v>16</v>
      </c>
      <c r="D11" s="1" t="s">
        <v>62</v>
      </c>
      <c r="E11" s="1" t="s">
        <v>63</v>
      </c>
      <c r="F11" s="5">
        <v>1800836</v>
      </c>
      <c r="G11" s="1" t="s">
        <v>64</v>
      </c>
      <c r="H11" s="6">
        <v>45980</v>
      </c>
      <c r="I11" s="5">
        <v>33.26</v>
      </c>
      <c r="J11" s="5">
        <v>1514431.77</v>
      </c>
    </row>
    <row r="12" spans="1:10" x14ac:dyDescent="0.25">
      <c r="A12" s="4">
        <v>45849</v>
      </c>
      <c r="B12" s="1" t="s">
        <v>67</v>
      </c>
      <c r="C12" s="1" t="s">
        <v>16</v>
      </c>
      <c r="D12" s="1" t="s">
        <v>62</v>
      </c>
      <c r="E12" s="1" t="s">
        <v>63</v>
      </c>
      <c r="F12" s="5">
        <v>3156338</v>
      </c>
      <c r="G12" s="1" t="s">
        <v>64</v>
      </c>
      <c r="H12" s="6">
        <v>89273</v>
      </c>
      <c r="I12" s="5">
        <v>29.91</v>
      </c>
      <c r="J12" s="5">
        <v>2670280</v>
      </c>
    </row>
    <row r="13" spans="1:10" x14ac:dyDescent="0.25">
      <c r="A13" s="4">
        <v>45869</v>
      </c>
      <c r="B13" s="1" t="s">
        <v>68</v>
      </c>
      <c r="C13" s="1" t="s">
        <v>16</v>
      </c>
      <c r="D13" s="1" t="s">
        <v>62</v>
      </c>
      <c r="E13" s="1" t="s">
        <v>63</v>
      </c>
      <c r="F13" s="5">
        <v>801120</v>
      </c>
      <c r="G13" s="1" t="s">
        <v>64</v>
      </c>
      <c r="H13" s="6">
        <v>22265</v>
      </c>
      <c r="I13" s="5">
        <v>30.29</v>
      </c>
      <c r="J13" s="5">
        <v>674478.53</v>
      </c>
    </row>
    <row r="14" spans="1:10" x14ac:dyDescent="0.25">
      <c r="A14" s="4">
        <v>45869</v>
      </c>
      <c r="B14" s="1" t="s">
        <v>69</v>
      </c>
      <c r="C14" s="1" t="s">
        <v>16</v>
      </c>
      <c r="D14" s="1" t="s">
        <v>62</v>
      </c>
      <c r="E14" s="1" t="s">
        <v>63</v>
      </c>
      <c r="F14" s="5">
        <v>812855</v>
      </c>
      <c r="G14" s="1" t="s">
        <v>64</v>
      </c>
      <c r="H14" s="6">
        <v>22964</v>
      </c>
      <c r="I14" s="5">
        <v>29.94</v>
      </c>
      <c r="J14" s="5">
        <v>687679.94</v>
      </c>
    </row>
    <row r="15" spans="1:10" x14ac:dyDescent="0.25">
      <c r="A15" s="4">
        <v>45870</v>
      </c>
      <c r="B15" s="1" t="s">
        <v>70</v>
      </c>
      <c r="C15" s="1" t="s">
        <v>16</v>
      </c>
      <c r="D15" s="1" t="s">
        <v>62</v>
      </c>
      <c r="E15" s="1" t="s">
        <v>63</v>
      </c>
      <c r="F15" s="5">
        <v>1562654</v>
      </c>
      <c r="G15" s="1" t="s">
        <v>64</v>
      </c>
      <c r="H15" s="6">
        <v>43829</v>
      </c>
      <c r="I15" s="5">
        <v>30.16</v>
      </c>
      <c r="J15" s="5">
        <v>1322014.1299999999</v>
      </c>
    </row>
    <row r="16" spans="1:10" x14ac:dyDescent="0.25">
      <c r="A16" s="4">
        <v>45879</v>
      </c>
      <c r="B16" s="1" t="s">
        <v>71</v>
      </c>
      <c r="C16" s="1" t="s">
        <v>16</v>
      </c>
      <c r="D16" s="1" t="s">
        <v>62</v>
      </c>
      <c r="E16" s="1" t="s">
        <v>63</v>
      </c>
      <c r="F16" s="5">
        <v>3289320</v>
      </c>
      <c r="G16" s="1" t="s">
        <v>64</v>
      </c>
      <c r="H16" s="6">
        <v>90254</v>
      </c>
      <c r="I16" s="5">
        <v>30.83</v>
      </c>
      <c r="J16" s="5">
        <v>2782783.35</v>
      </c>
    </row>
    <row r="17" spans="1:10" x14ac:dyDescent="0.25">
      <c r="A17" s="4">
        <v>45885</v>
      </c>
      <c r="B17" s="1" t="s">
        <v>72</v>
      </c>
      <c r="C17" s="1" t="s">
        <v>16</v>
      </c>
      <c r="D17" s="1" t="s">
        <v>62</v>
      </c>
      <c r="E17" s="1" t="s">
        <v>63</v>
      </c>
      <c r="F17" s="5">
        <v>815497</v>
      </c>
      <c r="G17" s="1" t="s">
        <v>64</v>
      </c>
      <c r="H17" s="6">
        <v>22376</v>
      </c>
      <c r="I17" s="5">
        <v>30.83</v>
      </c>
      <c r="J17" s="5">
        <v>689914.91</v>
      </c>
    </row>
    <row r="18" spans="1:10" x14ac:dyDescent="0.25">
      <c r="A18" s="4">
        <v>45891</v>
      </c>
      <c r="B18" s="1" t="s">
        <v>73</v>
      </c>
      <c r="C18" s="1" t="s">
        <v>16</v>
      </c>
      <c r="D18" s="1" t="s">
        <v>62</v>
      </c>
      <c r="E18" s="1" t="s">
        <v>63</v>
      </c>
      <c r="F18" s="5">
        <v>837549</v>
      </c>
      <c r="G18" s="1" t="s">
        <v>64</v>
      </c>
      <c r="H18" s="6">
        <v>23298</v>
      </c>
      <c r="I18" s="5">
        <v>30.41</v>
      </c>
      <c r="J18" s="5">
        <v>708571.57</v>
      </c>
    </row>
    <row r="19" spans="1:10" x14ac:dyDescent="0.25">
      <c r="A19" s="4">
        <v>45891</v>
      </c>
      <c r="B19" s="1" t="s">
        <v>74</v>
      </c>
      <c r="C19" s="1" t="s">
        <v>16</v>
      </c>
      <c r="D19" s="1" t="s">
        <v>62</v>
      </c>
      <c r="E19" s="1" t="s">
        <v>63</v>
      </c>
      <c r="F19" s="5">
        <v>4098717</v>
      </c>
      <c r="G19" s="1" t="s">
        <v>64</v>
      </c>
      <c r="H19" s="6">
        <v>111123</v>
      </c>
      <c r="I19" s="5">
        <v>31.2</v>
      </c>
      <c r="J19" s="5">
        <v>3467538.09</v>
      </c>
    </row>
    <row r="20" spans="1:10" x14ac:dyDescent="0.25">
      <c r="A20" s="4">
        <v>45904</v>
      </c>
      <c r="B20" s="1" t="s">
        <v>75</v>
      </c>
      <c r="C20" s="1" t="s">
        <v>16</v>
      </c>
      <c r="D20" s="1" t="s">
        <v>62</v>
      </c>
      <c r="E20" s="1" t="s">
        <v>63</v>
      </c>
      <c r="F20" s="5">
        <v>4096835</v>
      </c>
      <c r="G20" s="1" t="s">
        <v>64</v>
      </c>
      <c r="H20" s="6">
        <v>110760</v>
      </c>
      <c r="I20" s="5">
        <v>32.29</v>
      </c>
      <c r="J20" s="5">
        <v>3465946.22</v>
      </c>
    </row>
    <row r="21" spans="1:10" x14ac:dyDescent="0.25">
      <c r="A21" s="4">
        <v>45913</v>
      </c>
      <c r="B21" s="1" t="s">
        <v>76</v>
      </c>
      <c r="C21" s="1" t="s">
        <v>16</v>
      </c>
      <c r="D21" s="1" t="s">
        <v>62</v>
      </c>
      <c r="E21" s="1" t="s">
        <v>63</v>
      </c>
      <c r="F21" s="5">
        <v>4183098</v>
      </c>
      <c r="G21" s="1" t="s">
        <v>64</v>
      </c>
      <c r="H21" s="6">
        <v>112009</v>
      </c>
      <c r="I21" s="5">
        <v>31.59</v>
      </c>
      <c r="J21" s="5">
        <v>3538924.8</v>
      </c>
    </row>
    <row r="22" spans="1:10" x14ac:dyDescent="0.25">
      <c r="A22" s="4">
        <v>45931</v>
      </c>
      <c r="B22" s="1" t="s">
        <v>77</v>
      </c>
      <c r="C22" s="1" t="s">
        <v>16</v>
      </c>
      <c r="D22" s="1" t="s">
        <v>62</v>
      </c>
      <c r="E22" s="1" t="s">
        <v>63</v>
      </c>
      <c r="F22" s="5">
        <v>1678443</v>
      </c>
      <c r="G22" s="1" t="s">
        <v>64</v>
      </c>
      <c r="H22" s="6">
        <v>45146</v>
      </c>
      <c r="I22" s="5">
        <v>31.45</v>
      </c>
      <c r="J22" s="5">
        <v>1419972.27</v>
      </c>
    </row>
    <row r="23" spans="1:10" x14ac:dyDescent="0.25">
      <c r="A23" s="4">
        <v>45933</v>
      </c>
      <c r="B23" s="1" t="s">
        <v>78</v>
      </c>
      <c r="C23" s="1" t="s">
        <v>16</v>
      </c>
      <c r="D23" s="1" t="s">
        <v>62</v>
      </c>
      <c r="E23" s="1" t="s">
        <v>63</v>
      </c>
      <c r="F23" s="5">
        <v>864469</v>
      </c>
      <c r="G23" s="1" t="s">
        <v>64</v>
      </c>
      <c r="H23" s="6">
        <v>23097</v>
      </c>
      <c r="I23" s="5">
        <v>31.66</v>
      </c>
      <c r="J23" s="5">
        <v>731345.63</v>
      </c>
    </row>
    <row r="24" spans="1:10" x14ac:dyDescent="0.25">
      <c r="A24" s="4">
        <v>45988</v>
      </c>
      <c r="B24" s="1" t="s">
        <v>79</v>
      </c>
      <c r="C24" s="1" t="s">
        <v>16</v>
      </c>
      <c r="D24" s="1" t="s">
        <v>17</v>
      </c>
      <c r="E24" s="1" t="s">
        <v>18</v>
      </c>
      <c r="F24" s="5">
        <v>205055</v>
      </c>
      <c r="G24" s="1" t="s">
        <v>19</v>
      </c>
      <c r="H24" s="6">
        <v>4965</v>
      </c>
      <c r="I24" s="5">
        <v>35</v>
      </c>
      <c r="J24" s="5">
        <v>173775</v>
      </c>
    </row>
    <row r="25" spans="1:10" x14ac:dyDescent="0.25">
      <c r="A25" s="4">
        <v>46016</v>
      </c>
      <c r="B25" s="1" t="s">
        <v>80</v>
      </c>
      <c r="C25" s="1" t="s">
        <v>16</v>
      </c>
      <c r="D25" s="1" t="s">
        <v>81</v>
      </c>
      <c r="E25" s="1" t="s">
        <v>82</v>
      </c>
      <c r="F25" s="5">
        <v>762882</v>
      </c>
      <c r="G25" s="1" t="s">
        <v>83</v>
      </c>
      <c r="H25" s="6">
        <v>19015</v>
      </c>
      <c r="I25" s="5">
        <v>34</v>
      </c>
      <c r="J25" s="5">
        <v>646510</v>
      </c>
    </row>
    <row r="26" spans="1:10" x14ac:dyDescent="0.25">
      <c r="A26" s="4">
        <v>46017</v>
      </c>
      <c r="B26" s="1" t="s">
        <v>84</v>
      </c>
      <c r="C26" s="1" t="s">
        <v>16</v>
      </c>
      <c r="D26" s="1" t="s">
        <v>85</v>
      </c>
      <c r="E26" s="1" t="s">
        <v>86</v>
      </c>
      <c r="F26" s="5">
        <v>4145318</v>
      </c>
      <c r="G26" s="1" t="s">
        <v>87</v>
      </c>
      <c r="H26" s="6">
        <v>103910</v>
      </c>
      <c r="I26" s="5">
        <v>33.71</v>
      </c>
      <c r="J26" s="5">
        <v>3502757.23</v>
      </c>
    </row>
    <row r="27" spans="1:10" x14ac:dyDescent="0.25">
      <c r="A27" s="4">
        <v>46080</v>
      </c>
      <c r="B27" s="1" t="s">
        <v>88</v>
      </c>
      <c r="C27" s="1" t="s">
        <v>16</v>
      </c>
      <c r="D27" s="1" t="s">
        <v>89</v>
      </c>
      <c r="E27" s="1" t="s">
        <v>18</v>
      </c>
      <c r="F27" s="5">
        <v>1127295</v>
      </c>
      <c r="G27" s="1" t="s">
        <v>64</v>
      </c>
      <c r="H27" s="6">
        <v>16950</v>
      </c>
      <c r="I27" s="5">
        <v>36.9</v>
      </c>
      <c r="J27" s="5">
        <v>625455</v>
      </c>
    </row>
    <row r="28" spans="1:10" x14ac:dyDescent="0.25">
      <c r="G28" s="1" t="s">
        <v>64</v>
      </c>
      <c r="H28" s="6">
        <v>8410</v>
      </c>
      <c r="I28" s="5">
        <v>38.1</v>
      </c>
      <c r="J28" s="5">
        <v>320421</v>
      </c>
    </row>
    <row r="29" spans="1:10" x14ac:dyDescent="0.25">
      <c r="A29" s="4">
        <v>46083</v>
      </c>
      <c r="B29" s="1" t="s">
        <v>90</v>
      </c>
      <c r="C29" s="1" t="s">
        <v>16</v>
      </c>
      <c r="D29" s="1" t="s">
        <v>91</v>
      </c>
      <c r="E29" s="1" t="s">
        <v>92</v>
      </c>
      <c r="F29" s="5">
        <v>266129</v>
      </c>
      <c r="G29" s="1" t="s">
        <v>64</v>
      </c>
      <c r="H29" s="6">
        <v>5800</v>
      </c>
      <c r="I29" s="5">
        <v>38.5</v>
      </c>
      <c r="J29" s="5">
        <v>223300</v>
      </c>
    </row>
    <row r="30" spans="1:10" x14ac:dyDescent="0.25">
      <c r="A30" s="4">
        <v>46084</v>
      </c>
      <c r="B30" s="1" t="s">
        <v>93</v>
      </c>
      <c r="C30" s="1" t="s">
        <v>16</v>
      </c>
      <c r="D30" s="1" t="s">
        <v>91</v>
      </c>
      <c r="E30" s="1" t="s">
        <v>92</v>
      </c>
      <c r="F30" s="5">
        <v>299023</v>
      </c>
      <c r="G30" s="1" t="s">
        <v>64</v>
      </c>
      <c r="H30" s="6">
        <v>6500</v>
      </c>
      <c r="I30" s="5">
        <v>38.6</v>
      </c>
      <c r="J30" s="5">
        <v>250900</v>
      </c>
    </row>
    <row r="31" spans="1:10" x14ac:dyDescent="0.25">
      <c r="A31" s="4">
        <v>46090</v>
      </c>
      <c r="B31" s="1" t="s">
        <v>94</v>
      </c>
      <c r="C31" s="1" t="s">
        <v>16</v>
      </c>
      <c r="D31" s="1" t="s">
        <v>95</v>
      </c>
      <c r="E31" s="1" t="s">
        <v>18</v>
      </c>
      <c r="F31" s="5">
        <v>1038414</v>
      </c>
      <c r="G31" s="1" t="s">
        <v>64</v>
      </c>
      <c r="H31" s="6">
        <v>25740</v>
      </c>
      <c r="I31" s="5">
        <v>33.85</v>
      </c>
      <c r="J31" s="5">
        <v>871299</v>
      </c>
    </row>
    <row r="32" spans="1:10" x14ac:dyDescent="0.25">
      <c r="A32" s="4">
        <v>46091</v>
      </c>
      <c r="B32" s="1" t="s">
        <v>96</v>
      </c>
      <c r="C32" s="1" t="s">
        <v>16</v>
      </c>
      <c r="D32" s="1" t="s">
        <v>89</v>
      </c>
      <c r="E32" s="1" t="s">
        <v>18</v>
      </c>
      <c r="F32" s="5">
        <v>456820</v>
      </c>
      <c r="G32" s="1" t="s">
        <v>64</v>
      </c>
      <c r="H32" s="6">
        <v>10290</v>
      </c>
      <c r="I32" s="5">
        <v>38.5</v>
      </c>
      <c r="J32" s="5">
        <v>383302.5</v>
      </c>
    </row>
    <row r="33" spans="1:10" x14ac:dyDescent="0.25">
      <c r="A33" s="4">
        <v>46108</v>
      </c>
      <c r="B33" s="1" t="s">
        <v>97</v>
      </c>
      <c r="C33" s="1" t="s">
        <v>16</v>
      </c>
      <c r="D33" s="1" t="s">
        <v>91</v>
      </c>
      <c r="E33" s="1" t="s">
        <v>92</v>
      </c>
      <c r="F33" s="5">
        <v>271749</v>
      </c>
      <c r="G33" s="1" t="s">
        <v>64</v>
      </c>
      <c r="H33" s="6">
        <v>5630</v>
      </c>
      <c r="I33" s="5">
        <v>40.5</v>
      </c>
      <c r="J33" s="5">
        <v>228015</v>
      </c>
    </row>
    <row r="34" spans="1:10" x14ac:dyDescent="0.25">
      <c r="A34" s="4">
        <v>46108</v>
      </c>
      <c r="B34" s="1" t="s">
        <v>98</v>
      </c>
      <c r="C34" s="1" t="s">
        <v>16</v>
      </c>
      <c r="D34" s="1" t="s">
        <v>91</v>
      </c>
      <c r="E34" s="1" t="s">
        <v>92</v>
      </c>
      <c r="F34" s="5">
        <v>265956</v>
      </c>
      <c r="G34" s="1" t="s">
        <v>64</v>
      </c>
      <c r="H34" s="6">
        <v>5510</v>
      </c>
      <c r="I34" s="5">
        <v>40.5</v>
      </c>
      <c r="J34" s="5">
        <v>223155</v>
      </c>
    </row>
    <row r="35" spans="1:10" x14ac:dyDescent="0.25">
      <c r="E35" s="7" t="s">
        <v>33</v>
      </c>
      <c r="F35" s="8">
        <v>43834504</v>
      </c>
      <c r="H35" s="9">
        <v>1153078</v>
      </c>
      <c r="J35" s="8">
        <v>37043230.710000001</v>
      </c>
    </row>
    <row r="36" spans="1:10" x14ac:dyDescent="0.25">
      <c r="J36" s="10"/>
    </row>
    <row r="37" spans="1:10" x14ac:dyDescent="0.25">
      <c r="A37" t="s">
        <v>270</v>
      </c>
      <c r="F37" s="5">
        <v>8273</v>
      </c>
      <c r="H37" s="6">
        <v>190</v>
      </c>
      <c r="J37" s="5">
        <v>7011</v>
      </c>
    </row>
    <row r="38" spans="1:10" x14ac:dyDescent="0.25">
      <c r="F38" s="5">
        <v>3597</v>
      </c>
      <c r="H38" s="6">
        <v>80</v>
      </c>
      <c r="J38" s="5">
        <v>3048</v>
      </c>
    </row>
    <row r="39" spans="1:10" x14ac:dyDescent="0.25">
      <c r="F39" s="13">
        <f>SUM(F37:F38)</f>
        <v>11870</v>
      </c>
      <c r="G39" s="12"/>
      <c r="H39" s="19">
        <f>SUM(H37:H38)</f>
        <v>270</v>
      </c>
      <c r="I39" s="12"/>
      <c r="J39" s="13">
        <f>SUM(J37:J38)</f>
        <v>10059</v>
      </c>
    </row>
    <row r="41" spans="1:10" x14ac:dyDescent="0.25">
      <c r="F41" s="10">
        <f>+F35-F39</f>
        <v>43822634</v>
      </c>
      <c r="H41" s="10">
        <f>+H35-H39</f>
        <v>1152808</v>
      </c>
      <c r="J41" s="10">
        <f>+J35-J39</f>
        <v>37033171.710000001</v>
      </c>
    </row>
  </sheetData>
  <mergeCells count="6">
    <mergeCell ref="A6:J6"/>
    <mergeCell ref="A1:J1"/>
    <mergeCell ref="A2:J2"/>
    <mergeCell ref="A3:J3"/>
    <mergeCell ref="A4:J4"/>
    <mergeCell ref="A5:J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B6B22-F801-4804-817B-EF24257E831F}">
  <dimension ref="A1:J22"/>
  <sheetViews>
    <sheetView workbookViewId="0">
      <selection activeCell="G23" sqref="G23"/>
    </sheetView>
  </sheetViews>
  <sheetFormatPr defaultRowHeight="15" x14ac:dyDescent="0.25"/>
  <cols>
    <col min="1" max="1" width="14.85546875" customWidth="1"/>
    <col min="2" max="3" width="9.140625" customWidth="1"/>
    <col min="4" max="4" width="12.140625" bestFit="1" customWidth="1"/>
    <col min="5" max="5" width="10.42578125" bestFit="1" customWidth="1"/>
    <col min="6" max="6" width="16.42578125" customWidth="1"/>
    <col min="7" max="7" width="32.5703125" bestFit="1" customWidth="1"/>
    <col min="8" max="8" width="15" customWidth="1"/>
    <col min="9" max="9" width="9.140625" customWidth="1"/>
    <col min="10" max="10" width="16" bestFit="1" customWidth="1"/>
  </cols>
  <sheetData>
    <row r="1" spans="1:10" ht="18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2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</row>
    <row r="3" spans="1:10" x14ac:dyDescent="0.25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</row>
    <row r="4" spans="1:10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 x14ac:dyDescent="0.25">
      <c r="A5" s="28" t="s">
        <v>3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x14ac:dyDescent="0.25">
      <c r="A6" s="24" t="s">
        <v>4</v>
      </c>
      <c r="B6" s="24"/>
      <c r="C6" s="24"/>
      <c r="D6" s="24"/>
      <c r="E6" s="24"/>
      <c r="F6" s="24"/>
      <c r="G6" s="24"/>
      <c r="H6" s="24"/>
      <c r="I6" s="24"/>
      <c r="J6" s="24"/>
    </row>
    <row r="7" spans="1:10" x14ac:dyDescent="0.2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3" t="s">
        <v>10</v>
      </c>
      <c r="G7" s="2" t="s">
        <v>11</v>
      </c>
      <c r="H7" s="3" t="s">
        <v>12</v>
      </c>
      <c r="I7" s="3" t="s">
        <v>13</v>
      </c>
      <c r="J7" s="3" t="s">
        <v>14</v>
      </c>
    </row>
    <row r="8" spans="1:10" x14ac:dyDescent="0.25">
      <c r="A8" s="4">
        <v>45584</v>
      </c>
      <c r="B8" s="1" t="s">
        <v>15</v>
      </c>
      <c r="C8" s="1" t="s">
        <v>16</v>
      </c>
      <c r="D8" s="1" t="s">
        <v>17</v>
      </c>
      <c r="E8" s="1" t="s">
        <v>18</v>
      </c>
      <c r="F8" s="5">
        <v>766528</v>
      </c>
      <c r="G8" s="1" t="s">
        <v>19</v>
      </c>
      <c r="H8" s="6">
        <v>18560</v>
      </c>
      <c r="I8" s="5">
        <v>35</v>
      </c>
      <c r="J8" s="5">
        <v>649600</v>
      </c>
    </row>
    <row r="9" spans="1:10" x14ac:dyDescent="0.25">
      <c r="A9" s="4">
        <v>45619</v>
      </c>
      <c r="B9" s="1" t="s">
        <v>20</v>
      </c>
      <c r="C9" s="1" t="s">
        <v>16</v>
      </c>
      <c r="D9" s="1" t="s">
        <v>17</v>
      </c>
      <c r="E9" s="1" t="s">
        <v>18</v>
      </c>
      <c r="F9" s="5">
        <v>706643</v>
      </c>
      <c r="G9" s="1" t="s">
        <v>19</v>
      </c>
      <c r="H9" s="6">
        <v>17110</v>
      </c>
      <c r="I9" s="5">
        <v>35</v>
      </c>
      <c r="J9" s="5">
        <v>598850</v>
      </c>
    </row>
    <row r="10" spans="1:10" x14ac:dyDescent="0.25">
      <c r="A10" s="4">
        <v>45636</v>
      </c>
      <c r="B10" s="1" t="s">
        <v>21</v>
      </c>
      <c r="C10" s="1" t="s">
        <v>16</v>
      </c>
      <c r="D10" s="1" t="s">
        <v>17</v>
      </c>
      <c r="E10" s="1" t="s">
        <v>18</v>
      </c>
      <c r="F10" s="5">
        <v>735553</v>
      </c>
      <c r="G10" s="1" t="s">
        <v>19</v>
      </c>
      <c r="H10" s="6">
        <v>17810</v>
      </c>
      <c r="I10" s="5">
        <v>35</v>
      </c>
      <c r="J10" s="5">
        <v>623350</v>
      </c>
    </row>
    <row r="11" spans="1:10" x14ac:dyDescent="0.25">
      <c r="A11" s="4">
        <v>45664</v>
      </c>
      <c r="B11" s="1" t="s">
        <v>22</v>
      </c>
      <c r="C11" s="1" t="s">
        <v>16</v>
      </c>
      <c r="D11" s="1" t="s">
        <v>17</v>
      </c>
      <c r="E11" s="1" t="s">
        <v>18</v>
      </c>
      <c r="F11" s="5">
        <v>797297</v>
      </c>
      <c r="G11" s="1" t="s">
        <v>19</v>
      </c>
      <c r="H11" s="6">
        <v>19305</v>
      </c>
      <c r="I11" s="5">
        <v>35</v>
      </c>
      <c r="J11" s="5">
        <v>675675</v>
      </c>
    </row>
    <row r="12" spans="1:10" x14ac:dyDescent="0.25">
      <c r="A12" s="4">
        <v>45667</v>
      </c>
      <c r="B12" s="1" t="s">
        <v>23</v>
      </c>
      <c r="C12" s="1" t="s">
        <v>16</v>
      </c>
      <c r="D12" s="1" t="s">
        <v>17</v>
      </c>
      <c r="E12" s="1" t="s">
        <v>18</v>
      </c>
      <c r="F12" s="5">
        <v>937097</v>
      </c>
      <c r="G12" s="1" t="s">
        <v>19</v>
      </c>
      <c r="H12" s="6">
        <v>22690</v>
      </c>
      <c r="I12" s="5">
        <v>35</v>
      </c>
      <c r="J12" s="5">
        <v>794150</v>
      </c>
    </row>
    <row r="13" spans="1:10" x14ac:dyDescent="0.25">
      <c r="A13" s="4">
        <v>45667</v>
      </c>
      <c r="B13" s="1" t="s">
        <v>24</v>
      </c>
      <c r="C13" s="1" t="s">
        <v>16</v>
      </c>
      <c r="D13" s="1" t="s">
        <v>17</v>
      </c>
      <c r="E13" s="1" t="s">
        <v>18</v>
      </c>
      <c r="F13" s="5">
        <v>897862</v>
      </c>
      <c r="G13" s="1" t="s">
        <v>19</v>
      </c>
      <c r="H13" s="6">
        <v>21740</v>
      </c>
      <c r="I13" s="5">
        <v>35</v>
      </c>
      <c r="J13" s="5">
        <v>760900</v>
      </c>
    </row>
    <row r="14" spans="1:10" x14ac:dyDescent="0.25">
      <c r="A14" s="4">
        <v>45680</v>
      </c>
      <c r="B14" s="1" t="s">
        <v>25</v>
      </c>
      <c r="C14" s="1" t="s">
        <v>16</v>
      </c>
      <c r="D14" s="1" t="s">
        <v>17</v>
      </c>
      <c r="E14" s="1" t="s">
        <v>18</v>
      </c>
      <c r="F14" s="5">
        <v>358691</v>
      </c>
      <c r="G14" s="1" t="s">
        <v>19</v>
      </c>
      <c r="H14" s="6">
        <v>8685</v>
      </c>
      <c r="I14" s="5">
        <v>35</v>
      </c>
      <c r="J14" s="5">
        <v>303975</v>
      </c>
    </row>
    <row r="15" spans="1:10" x14ac:dyDescent="0.25">
      <c r="A15" s="4">
        <v>45681</v>
      </c>
      <c r="B15" s="1" t="s">
        <v>26</v>
      </c>
      <c r="C15" s="1" t="s">
        <v>16</v>
      </c>
      <c r="D15" s="1" t="s">
        <v>17</v>
      </c>
      <c r="E15" s="1" t="s">
        <v>18</v>
      </c>
      <c r="F15" s="5">
        <v>321314</v>
      </c>
      <c r="G15" s="1" t="s">
        <v>19</v>
      </c>
      <c r="H15" s="6">
        <v>7780</v>
      </c>
      <c r="I15" s="5">
        <v>35</v>
      </c>
      <c r="J15" s="5">
        <v>272300</v>
      </c>
    </row>
    <row r="16" spans="1:10" x14ac:dyDescent="0.25">
      <c r="A16" s="4">
        <v>45685</v>
      </c>
      <c r="B16" s="1" t="s">
        <v>27</v>
      </c>
      <c r="C16" s="1" t="s">
        <v>16</v>
      </c>
      <c r="D16" s="1" t="s">
        <v>17</v>
      </c>
      <c r="E16" s="1" t="s">
        <v>18</v>
      </c>
      <c r="F16" s="5">
        <v>318010</v>
      </c>
      <c r="G16" s="1" t="s">
        <v>19</v>
      </c>
      <c r="H16" s="6">
        <v>7700</v>
      </c>
      <c r="I16" s="5">
        <v>35</v>
      </c>
      <c r="J16" s="5">
        <v>269500</v>
      </c>
    </row>
    <row r="17" spans="1:10" x14ac:dyDescent="0.25">
      <c r="A17" s="4">
        <v>45702</v>
      </c>
      <c r="B17" s="1" t="s">
        <v>28</v>
      </c>
      <c r="C17" s="1" t="s">
        <v>16</v>
      </c>
      <c r="D17" s="1" t="s">
        <v>17</v>
      </c>
      <c r="E17" s="1" t="s">
        <v>18</v>
      </c>
      <c r="F17" s="5">
        <v>775408</v>
      </c>
      <c r="G17" s="1" t="s">
        <v>19</v>
      </c>
      <c r="H17" s="6">
        <v>18775</v>
      </c>
      <c r="I17" s="5">
        <v>35</v>
      </c>
      <c r="J17" s="5">
        <v>657125</v>
      </c>
    </row>
    <row r="18" spans="1:10" x14ac:dyDescent="0.25">
      <c r="A18" s="4">
        <v>45716</v>
      </c>
      <c r="B18" s="1" t="s">
        <v>29</v>
      </c>
      <c r="C18" s="1" t="s">
        <v>16</v>
      </c>
      <c r="D18" s="1" t="s">
        <v>17</v>
      </c>
      <c r="E18" s="1" t="s">
        <v>18</v>
      </c>
      <c r="F18" s="5">
        <v>936684</v>
      </c>
      <c r="G18" s="1" t="s">
        <v>19</v>
      </c>
      <c r="H18" s="6">
        <v>22680</v>
      </c>
      <c r="I18" s="5">
        <v>35</v>
      </c>
      <c r="J18" s="5">
        <v>793800</v>
      </c>
    </row>
    <row r="19" spans="1:10" x14ac:dyDescent="0.25">
      <c r="A19" s="4">
        <v>45716</v>
      </c>
      <c r="B19" s="1" t="s">
        <v>30</v>
      </c>
      <c r="C19" s="1" t="s">
        <v>16</v>
      </c>
      <c r="D19" s="1" t="s">
        <v>17</v>
      </c>
      <c r="E19" s="1" t="s">
        <v>18</v>
      </c>
      <c r="F19" s="5">
        <v>904883</v>
      </c>
      <c r="G19" s="1" t="s">
        <v>19</v>
      </c>
      <c r="H19" s="6">
        <v>21910</v>
      </c>
      <c r="I19" s="5">
        <v>35</v>
      </c>
      <c r="J19" s="5">
        <v>766850</v>
      </c>
    </row>
    <row r="20" spans="1:10" x14ac:dyDescent="0.25">
      <c r="A20" s="4">
        <v>45716</v>
      </c>
      <c r="B20" s="1" t="s">
        <v>31</v>
      </c>
      <c r="C20" s="1" t="s">
        <v>16</v>
      </c>
      <c r="D20" s="1" t="s">
        <v>17</v>
      </c>
      <c r="E20" s="1" t="s">
        <v>18</v>
      </c>
      <c r="F20" s="5">
        <v>913969</v>
      </c>
      <c r="G20" s="1" t="s">
        <v>19</v>
      </c>
      <c r="H20" s="6">
        <v>22130</v>
      </c>
      <c r="I20" s="5">
        <v>35</v>
      </c>
      <c r="J20" s="5">
        <v>774550</v>
      </c>
    </row>
    <row r="21" spans="1:10" x14ac:dyDescent="0.25">
      <c r="A21" s="4">
        <v>45717</v>
      </c>
      <c r="B21" s="1" t="s">
        <v>32</v>
      </c>
      <c r="C21" s="1" t="s">
        <v>16</v>
      </c>
      <c r="D21" s="1" t="s">
        <v>17</v>
      </c>
      <c r="E21" s="1" t="s">
        <v>18</v>
      </c>
      <c r="F21" s="5">
        <v>939209</v>
      </c>
      <c r="G21" s="1" t="s">
        <v>19</v>
      </c>
      <c r="H21" s="6">
        <v>23410</v>
      </c>
      <c r="I21" s="5">
        <v>34</v>
      </c>
      <c r="J21" s="5">
        <v>795940</v>
      </c>
    </row>
    <row r="22" spans="1:10" x14ac:dyDescent="0.25">
      <c r="E22" s="7" t="s">
        <v>33</v>
      </c>
      <c r="F22" s="8">
        <v>10309148</v>
      </c>
      <c r="H22" s="9">
        <v>250285</v>
      </c>
      <c r="J22" s="8">
        <v>8736565</v>
      </c>
    </row>
  </sheetData>
  <mergeCells count="6">
    <mergeCell ref="A6:J6"/>
    <mergeCell ref="A1:J1"/>
    <mergeCell ref="A2:J2"/>
    <mergeCell ref="A3:J3"/>
    <mergeCell ref="A4:J4"/>
    <mergeCell ref="A5:J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5B63-C526-491F-9293-B47A40A2D40C}">
  <dimension ref="A1:J15"/>
  <sheetViews>
    <sheetView workbookViewId="0">
      <selection sqref="A1:J1"/>
    </sheetView>
  </sheetViews>
  <sheetFormatPr defaultRowHeight="15" x14ac:dyDescent="0.25"/>
  <cols>
    <col min="1" max="1" width="14.85546875" customWidth="1"/>
    <col min="2" max="2" width="14.7109375" bestFit="1" customWidth="1"/>
    <col min="3" max="3" width="9.140625" customWidth="1"/>
    <col min="4" max="4" width="18.7109375" bestFit="1" customWidth="1"/>
    <col min="5" max="5" width="10.42578125" bestFit="1" customWidth="1"/>
    <col min="6" max="6" width="15" customWidth="1"/>
    <col min="7" max="7" width="50.5703125" bestFit="1" customWidth="1"/>
    <col min="8" max="8" width="13.5703125" customWidth="1"/>
    <col min="9" max="9" width="9.140625" customWidth="1"/>
    <col min="10" max="10" width="16" bestFit="1" customWidth="1"/>
  </cols>
  <sheetData>
    <row r="1" spans="1:10" ht="18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2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</row>
    <row r="3" spans="1:10" x14ac:dyDescent="0.25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</row>
    <row r="4" spans="1:10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 x14ac:dyDescent="0.25">
      <c r="A5" s="28" t="s">
        <v>34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x14ac:dyDescent="0.25">
      <c r="A6" s="24" t="s">
        <v>4</v>
      </c>
      <c r="B6" s="24"/>
      <c r="C6" s="24"/>
      <c r="D6" s="24"/>
      <c r="E6" s="24"/>
      <c r="F6" s="24"/>
      <c r="G6" s="24"/>
      <c r="H6" s="24"/>
      <c r="I6" s="24"/>
      <c r="J6" s="24"/>
    </row>
    <row r="7" spans="1:10" x14ac:dyDescent="0.2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3" t="s">
        <v>10</v>
      </c>
      <c r="G7" s="2" t="s">
        <v>11</v>
      </c>
      <c r="H7" s="3" t="s">
        <v>12</v>
      </c>
      <c r="I7" s="3" t="s">
        <v>13</v>
      </c>
      <c r="J7" s="3" t="s">
        <v>14</v>
      </c>
    </row>
    <row r="8" spans="1:10" x14ac:dyDescent="0.25">
      <c r="A8" s="4">
        <v>45624</v>
      </c>
      <c r="B8" s="1" t="s">
        <v>35</v>
      </c>
      <c r="C8" s="1" t="s">
        <v>16</v>
      </c>
      <c r="D8" s="1" t="s">
        <v>36</v>
      </c>
      <c r="E8" s="1" t="s">
        <v>18</v>
      </c>
      <c r="F8" s="5">
        <v>408870</v>
      </c>
      <c r="G8" s="1" t="s">
        <v>37</v>
      </c>
      <c r="H8" s="6">
        <v>9000</v>
      </c>
      <c r="I8" s="5">
        <v>38.5</v>
      </c>
      <c r="J8" s="5">
        <v>346500</v>
      </c>
    </row>
    <row r="9" spans="1:10" x14ac:dyDescent="0.25">
      <c r="A9" s="4">
        <v>45634</v>
      </c>
      <c r="B9" s="1" t="s">
        <v>38</v>
      </c>
      <c r="C9" s="1" t="s">
        <v>16</v>
      </c>
      <c r="D9" s="1" t="s">
        <v>36</v>
      </c>
      <c r="E9" s="1" t="s">
        <v>18</v>
      </c>
      <c r="F9" s="5">
        <v>408870</v>
      </c>
      <c r="G9" s="1" t="s">
        <v>37</v>
      </c>
      <c r="H9" s="6">
        <v>9000</v>
      </c>
      <c r="I9" s="5">
        <v>38.5</v>
      </c>
      <c r="J9" s="5">
        <v>346500</v>
      </c>
    </row>
    <row r="10" spans="1:10" x14ac:dyDescent="0.25">
      <c r="A10" s="4">
        <v>45680</v>
      </c>
      <c r="B10" s="1" t="s">
        <v>39</v>
      </c>
      <c r="C10" s="1" t="s">
        <v>16</v>
      </c>
      <c r="D10" s="1" t="s">
        <v>40</v>
      </c>
      <c r="E10" s="1" t="s">
        <v>18</v>
      </c>
      <c r="F10" s="5">
        <v>436763</v>
      </c>
      <c r="G10" s="1" t="s">
        <v>41</v>
      </c>
      <c r="H10" s="6">
        <v>9910</v>
      </c>
      <c r="I10" s="5">
        <v>37.35</v>
      </c>
      <c r="J10" s="5">
        <v>370138.5</v>
      </c>
    </row>
    <row r="11" spans="1:10" x14ac:dyDescent="0.25">
      <c r="A11" s="4">
        <v>45683</v>
      </c>
      <c r="B11" s="1" t="s">
        <v>42</v>
      </c>
      <c r="C11" s="1" t="s">
        <v>16</v>
      </c>
      <c r="D11" s="1" t="s">
        <v>43</v>
      </c>
      <c r="E11" s="1" t="s">
        <v>18</v>
      </c>
      <c r="F11" s="5">
        <v>227315</v>
      </c>
      <c r="G11" s="1" t="s">
        <v>44</v>
      </c>
      <c r="H11" s="6">
        <v>6020</v>
      </c>
      <c r="I11" s="5">
        <v>32</v>
      </c>
      <c r="J11" s="5">
        <v>192640</v>
      </c>
    </row>
    <row r="12" spans="1:10" x14ac:dyDescent="0.25">
      <c r="A12" s="4">
        <v>45698</v>
      </c>
      <c r="B12" s="1" t="s">
        <v>45</v>
      </c>
      <c r="C12" s="1" t="s">
        <v>16</v>
      </c>
      <c r="D12" s="1" t="s">
        <v>40</v>
      </c>
      <c r="E12" s="1" t="s">
        <v>18</v>
      </c>
      <c r="F12" s="5">
        <v>350513</v>
      </c>
      <c r="G12" s="1" t="s">
        <v>41</v>
      </c>
      <c r="H12" s="6">
        <v>8050</v>
      </c>
      <c r="I12" s="5">
        <v>36.9</v>
      </c>
      <c r="J12" s="5">
        <v>297045</v>
      </c>
    </row>
    <row r="13" spans="1:10" x14ac:dyDescent="0.25">
      <c r="A13" s="4">
        <v>45715</v>
      </c>
      <c r="B13" s="1" t="s">
        <v>46</v>
      </c>
      <c r="C13" s="1" t="s">
        <v>16</v>
      </c>
      <c r="D13" s="1" t="s">
        <v>47</v>
      </c>
      <c r="E13" s="1" t="s">
        <v>18</v>
      </c>
      <c r="F13" s="5">
        <v>385237</v>
      </c>
      <c r="G13" s="1" t="s">
        <v>41</v>
      </c>
      <c r="H13" s="6">
        <v>8920</v>
      </c>
      <c r="I13" s="5">
        <v>36.6</v>
      </c>
      <c r="J13" s="5">
        <v>326472</v>
      </c>
    </row>
    <row r="14" spans="1:10" x14ac:dyDescent="0.25">
      <c r="A14" s="4">
        <v>45725</v>
      </c>
      <c r="B14" s="1" t="s">
        <v>48</v>
      </c>
      <c r="C14" s="1" t="s">
        <v>16</v>
      </c>
      <c r="D14" s="1" t="s">
        <v>47</v>
      </c>
      <c r="E14" s="1" t="s">
        <v>18</v>
      </c>
      <c r="F14" s="5">
        <v>407509</v>
      </c>
      <c r="G14" s="1" t="s">
        <v>41</v>
      </c>
      <c r="H14" s="6">
        <v>9410</v>
      </c>
      <c r="I14" s="5">
        <v>36.700000000000003</v>
      </c>
      <c r="J14" s="5">
        <v>345347</v>
      </c>
    </row>
    <row r="15" spans="1:10" x14ac:dyDescent="0.25">
      <c r="E15" s="7" t="s">
        <v>33</v>
      </c>
      <c r="F15" s="8">
        <v>2625077</v>
      </c>
      <c r="H15" s="9">
        <v>60310</v>
      </c>
      <c r="J15" s="8">
        <v>2224642.5</v>
      </c>
    </row>
  </sheetData>
  <mergeCells count="6">
    <mergeCell ref="A6:J6"/>
    <mergeCell ref="A1:J1"/>
    <mergeCell ref="A2:J2"/>
    <mergeCell ref="A3:J3"/>
    <mergeCell ref="A4:J4"/>
    <mergeCell ref="A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FY 2025-26 SALES</vt:lpstr>
      <vt:lpstr>FY 2025-26 PURCHASE</vt:lpstr>
      <vt:lpstr>FY 24-25 PURCHASE</vt:lpstr>
      <vt:lpstr>FY 24-25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 Jaykishan Jagad</dc:creator>
  <cp:lastModifiedBy>CA Jaykishan Jagad</cp:lastModifiedBy>
  <dcterms:created xsi:type="dcterms:W3CDTF">2026-04-10T17:27:36Z</dcterms:created>
  <dcterms:modified xsi:type="dcterms:W3CDTF">2026-04-10T18:34:07Z</dcterms:modified>
</cp:coreProperties>
</file>