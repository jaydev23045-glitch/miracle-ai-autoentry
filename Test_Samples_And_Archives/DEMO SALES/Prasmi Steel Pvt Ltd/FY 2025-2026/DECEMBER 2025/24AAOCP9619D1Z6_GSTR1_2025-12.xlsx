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DECEMBER 2025/"/>
    </mc:Choice>
  </mc:AlternateContent>
  <xr:revisionPtr revIDLastSave="0" documentId="11_8FB276EDCF9FF5596826B159FC57D2483CE6AC47" xr6:coauthVersionLast="47" xr6:coauthVersionMax="47" xr10:uidLastSave="{00000000-0000-0000-0000-000000000000}"/>
  <bookViews>
    <workbookView xWindow="-120" yWindow="-120" windowWidth="29040" windowHeight="15720" firstSheet="5" activeTab="20" xr2:uid="{00000000-000D-0000-FFFF-FFFF00000000}"/>
  </bookViews>
  <sheets>
    <sheet name="Help Instruction" sheetId="1" r:id="rId1"/>
    <sheet name="b2b,sez,de" sheetId="2" r:id="rId2"/>
    <sheet name="b2ba" sheetId="3" r:id="rId3"/>
    <sheet name="b2cl" sheetId="4" r:id="rId4"/>
    <sheet name="b2cla" sheetId="5" r:id="rId5"/>
    <sheet name="b2cs" sheetId="6" r:id="rId6"/>
    <sheet name="b2csa" sheetId="7" r:id="rId7"/>
    <sheet name="cdnr" sheetId="8" r:id="rId8"/>
    <sheet name="cdnra" sheetId="9" r:id="rId9"/>
    <sheet name="cdnur" sheetId="10" r:id="rId10"/>
    <sheet name="cdnura" sheetId="11" r:id="rId11"/>
    <sheet name="exp" sheetId="12" r:id="rId12"/>
    <sheet name="expa" sheetId="13" r:id="rId13"/>
    <sheet name="at" sheetId="14" r:id="rId14"/>
    <sheet name="ata" sheetId="15" r:id="rId15"/>
    <sheet name="atadj" sheetId="16" r:id="rId16"/>
    <sheet name="atadja" sheetId="17" r:id="rId17"/>
    <sheet name="exemp" sheetId="18" r:id="rId18"/>
    <sheet name="hsn(b2b)" sheetId="19" r:id="rId19"/>
    <sheet name="hsn(b2c)" sheetId="20" r:id="rId20"/>
    <sheet name="docs" sheetId="21" r:id="rId21"/>
    <sheet name="eco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1" l="1"/>
  <c r="D3" i="21"/>
  <c r="K3" i="19"/>
  <c r="J3" i="19"/>
  <c r="I3" i="19"/>
  <c r="H3" i="19"/>
  <c r="G3" i="19"/>
  <c r="E3" i="19"/>
  <c r="M3" i="8"/>
  <c r="L3" i="8"/>
  <c r="I3" i="8"/>
  <c r="M3" i="2"/>
  <c r="L3" i="2"/>
  <c r="E3" i="2"/>
</calcChain>
</file>

<file path=xl/sharedStrings.xml><?xml version="1.0" encoding="utf-8"?>
<sst xmlns="http://schemas.openxmlformats.org/spreadsheetml/2006/main" count="476" uniqueCount="168">
  <si>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</si>
  <si>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</si>
  <si>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</si>
  <si>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</si>
  <si>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</si>
  <si>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</si>
  <si>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</si>
  <si>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</si>
  <si>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</si>
  <si>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</si>
  <si>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</si>
  <si>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</si>
  <si>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</si>
  <si>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</si>
  <si>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</si>
  <si>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</si>
  <si>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</si>
  <si>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</si>
  <si>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</si>
  <si>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</si>
  <si>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24AQEPK5746K1ZM</t>
  </si>
  <si>
    <t>Krupa Metal</t>
  </si>
  <si>
    <t>PSPL/82/2025-26</t>
  </si>
  <si>
    <t>04-Dec-2025</t>
  </si>
  <si>
    <t>24-Gujarat</t>
  </si>
  <si>
    <t>N</t>
  </si>
  <si>
    <t>Regular B2B</t>
  </si>
  <si>
    <t>24ABBFP8417C1ZJ</t>
  </si>
  <si>
    <t>Prushti Technocast</t>
  </si>
  <si>
    <t>PSPL/83/2025-26</t>
  </si>
  <si>
    <t>08-Dec-2025</t>
  </si>
  <si>
    <t>24ABNFM5795N1ZC</t>
  </si>
  <si>
    <t>Megastic Technocast</t>
  </si>
  <si>
    <t>PSPL/84/2025-26</t>
  </si>
  <si>
    <t>PSPL/85/2025-26</t>
  </si>
  <si>
    <t>12-Dec-2025</t>
  </si>
  <si>
    <t>24ABOFM4770C1Z9</t>
  </si>
  <si>
    <t>Madhav Enterprise</t>
  </si>
  <si>
    <t>PSPL/86/2025-26</t>
  </si>
  <si>
    <t>24AAXFR7589J1Z3</t>
  </si>
  <si>
    <t>Revolving TechnoCast</t>
  </si>
  <si>
    <t>PSPL/87/2025-26</t>
  </si>
  <si>
    <t>PSPL/88/2025-26</t>
  </si>
  <si>
    <t>PSPL/89/2025-26</t>
  </si>
  <si>
    <t>19-Dec-2025</t>
  </si>
  <si>
    <t>PSPL/90/2025-26</t>
  </si>
  <si>
    <t>21-Dec-2025</t>
  </si>
  <si>
    <t>PSPL/91/2025-26</t>
  </si>
  <si>
    <t>23-Dec-2025</t>
  </si>
  <si>
    <t>24AALCK7353A1ZP</t>
  </si>
  <si>
    <t>Kiason Metal Cast Private Limited</t>
  </si>
  <si>
    <t>PSPL/92/2025-26</t>
  </si>
  <si>
    <t>25-Dec-2025</t>
  </si>
  <si>
    <t>PSPL/93/2025-26</t>
  </si>
  <si>
    <t>27-Dec-2025</t>
  </si>
  <si>
    <t>24ABZPB9141K1Z8</t>
  </si>
  <si>
    <t>Farmer Diesel Spares</t>
  </si>
  <si>
    <t>PSPL/94/2025-26</t>
  </si>
  <si>
    <t>30-Dec-2025</t>
  </si>
  <si>
    <t>PSPL/95/2025-26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</si>
  <si>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</si>
  <si>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</si>
  <si>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</si>
  <si>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</si>
  <si>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</si>
  <si>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</si>
  <si>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</si>
  <si>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</si>
  <si>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</si>
  <si>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</si>
  <si>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</si>
  <si>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</si>
  <si>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</si>
  <si>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</si>
  <si>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</si>
  <si>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</si>
  <si>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</si>
  <si>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</si>
  <si>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</si>
  <si>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</si>
  <si>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</si>
  <si>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</si>
  <si>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</si>
  <si>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</si>
  <si>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</si>
  <si>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SR-1</t>
  </si>
  <si>
    <t>C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</si>
  <si>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</si>
  <si>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</si>
  <si>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</si>
  <si>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</si>
  <si>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</si>
  <si>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</si>
  <si>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</si>
  <si>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</si>
  <si>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</si>
  <si>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</si>
  <si>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</si>
  <si>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</si>
  <si>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</si>
  <si>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</si>
  <si>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</si>
  <si>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</si>
  <si>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</si>
  <si>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</si>
  <si>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</si>
  <si>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</si>
  <si>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</si>
  <si>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</si>
  <si>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</si>
  <si>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</si>
  <si>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</si>
  <si>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</si>
  <si>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</si>
  <si>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</si>
  <si>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</si>
  <si>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</si>
  <si>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</si>
  <si>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</si>
  <si>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</si>
  <si>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</si>
  <si>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</si>
  <si>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</si>
  <si>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</si>
  <si>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</si>
  <si>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</si>
  <si>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</si>
  <si>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</si>
  <si>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</si>
  <si>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</si>
  <si>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</si>
  <si>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72041000</t>
  </si>
  <si>
    <t>CAST IRON SCRAP BHOOKKI</t>
  </si>
  <si>
    <t>KGS-KILOGRAMS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</si>
  <si>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</si>
  <si>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</si>
  <si>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</si>
  <si>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</si>
  <si>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</si>
  <si>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</si>
  <si>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</si>
  <si>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Credit Note</t>
  </si>
  <si>
    <t>Invoices for outward supply</t>
  </si>
  <si>
    <t>PSPL/93/20 25-26</t>
  </si>
  <si>
    <t>PSPL/92/20 25-26</t>
  </si>
  <si>
    <t>PSPL/95/20 25-26</t>
  </si>
  <si>
    <t>PSPL/86/20 25-26</t>
  </si>
  <si>
    <t>PSPL/85/20 25-26</t>
  </si>
  <si>
    <t>PSPL/87/20 25-26</t>
  </si>
  <si>
    <t>PSPL/90/20 25-26</t>
  </si>
  <si>
    <t>PSPL/91/20 25-26</t>
  </si>
  <si>
    <t>PSPL/88/20 25-26</t>
  </si>
  <si>
    <t>PSPL/82/20 25-26</t>
  </si>
  <si>
    <t>PSPL/83/20 25-26</t>
  </si>
  <si>
    <t>PSPL/89/20 25-26</t>
  </si>
  <si>
    <t>PSPL/84/20 25-26</t>
  </si>
  <si>
    <t>PSPL/94/20 25-26</t>
  </si>
  <si>
    <t>Summary For Supplies through ECO-14</t>
  </si>
  <si>
    <t>No. of E-Commerce Operator</t>
  </si>
  <si>
    <t>Total Net Value of Supplies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</si>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</sst>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CBAD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/>
    <xf numFmtId="15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pane ySplit="4" topLeftCell="A5" activePane="bottomLeft" state="frozen"/>
      <selection pane="bottomLeft" activeCell="A2" sqref="A1:M18"/>
    </sheetView>
  </sheetViews>
  <sheetFormatPr defaultRowHeight="15" x14ac:dyDescent="0.25"/>
  <cols>
    <col min="1" max="1" width="36.28515625" customWidth="1"/>
    <col min="2" max="2" width="30.7109375" customWidth="1"/>
    <col min="3" max="3" width="16.5703125" customWidth="1"/>
    <col min="4" max="4" width="12.5703125" style="2" customWidth="1"/>
    <col min="5" max="5" width="18.5703125" style="3" customWidth="1"/>
    <col min="6" max="6" width="15.28515625" customWidth="1"/>
    <col min="7" max="7" width="15.28515625" style="1" customWidth="1"/>
    <col min="8" max="8" width="23.42578125" style="3" customWidth="1"/>
    <col min="9" max="9" width="12.7109375" customWidth="1"/>
    <col min="10" max="10" width="18.7109375" customWidth="1"/>
    <col min="11" max="11" width="9.140625" style="3" customWidth="1"/>
    <col min="12" max="12" width="19" style="3" customWidth="1"/>
    <col min="13" max="13" width="13.140625" style="3" customWidth="1"/>
  </cols>
  <sheetData>
    <row r="1" spans="1:13" x14ac:dyDescent="0.25">
      <c r="A1" s="4" t="s">
        <v>1</v>
      </c>
    </row>
    <row r="2" spans="1:13" x14ac:dyDescent="0.25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 spans="1:13" x14ac:dyDescent="0.25">
      <c r="A3">
        <v>7</v>
      </c>
      <c r="C3">
        <v>14</v>
      </c>
      <c r="E3" s="3">
        <f>SUM(E5:E18)</f>
        <v>4449165</v>
      </c>
      <c r="L3" s="3">
        <f>SUM(L5:L18)</f>
        <v>3770478.75</v>
      </c>
      <c r="M3" s="3">
        <f>SUM(M5:M18)</f>
        <v>0</v>
      </c>
    </row>
    <row r="4" spans="1:13" x14ac:dyDescent="0.25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 spans="1:13" x14ac:dyDescent="0.25">
      <c r="A5" t="s">
        <v>20</v>
      </c>
      <c r="B5" t="s">
        <v>21</v>
      </c>
      <c r="C5" t="s">
        <v>22</v>
      </c>
      <c r="D5" s="2" t="s">
        <v>23</v>
      </c>
      <c r="E5" s="3">
        <v>312228</v>
      </c>
      <c r="F5" t="s">
        <v>24</v>
      </c>
      <c r="G5" s="1" t="s">
        <v>25</v>
      </c>
      <c r="I5" t="s">
        <v>26</v>
      </c>
      <c r="K5" s="3">
        <v>18</v>
      </c>
      <c r="L5" s="3">
        <v>264600</v>
      </c>
      <c r="M5" s="3">
        <v>0</v>
      </c>
    </row>
    <row r="6" spans="1:13" x14ac:dyDescent="0.25">
      <c r="A6" t="s">
        <v>27</v>
      </c>
      <c r="B6" t="s">
        <v>28</v>
      </c>
      <c r="C6" t="s">
        <v>29</v>
      </c>
      <c r="D6" s="2" t="s">
        <v>30</v>
      </c>
      <c r="E6" s="3">
        <v>328940</v>
      </c>
      <c r="F6" t="s">
        <v>24</v>
      </c>
      <c r="G6" s="1" t="s">
        <v>25</v>
      </c>
      <c r="I6" t="s">
        <v>26</v>
      </c>
      <c r="K6" s="3">
        <v>18</v>
      </c>
      <c r="L6" s="3">
        <v>278762.5</v>
      </c>
      <c r="M6" s="3">
        <v>0</v>
      </c>
    </row>
    <row r="7" spans="1:13" x14ac:dyDescent="0.25">
      <c r="A7" t="s">
        <v>31</v>
      </c>
      <c r="B7" t="s">
        <v>32</v>
      </c>
      <c r="C7" t="s">
        <v>33</v>
      </c>
      <c r="D7" s="2" t="s">
        <v>30</v>
      </c>
      <c r="E7" s="3">
        <v>293628</v>
      </c>
      <c r="F7" t="s">
        <v>24</v>
      </c>
      <c r="G7" s="1" t="s">
        <v>25</v>
      </c>
      <c r="I7" t="s">
        <v>26</v>
      </c>
      <c r="K7" s="3">
        <v>18</v>
      </c>
      <c r="L7" s="3">
        <v>248837</v>
      </c>
      <c r="M7" s="3">
        <v>0</v>
      </c>
    </row>
    <row r="8" spans="1:13" x14ac:dyDescent="0.25">
      <c r="A8" t="s">
        <v>31</v>
      </c>
      <c r="B8" t="s">
        <v>32</v>
      </c>
      <c r="C8" t="s">
        <v>34</v>
      </c>
      <c r="D8" s="2" t="s">
        <v>35</v>
      </c>
      <c r="E8" s="3">
        <v>287020</v>
      </c>
      <c r="F8" t="s">
        <v>24</v>
      </c>
      <c r="G8" s="1" t="s">
        <v>25</v>
      </c>
      <c r="I8" t="s">
        <v>26</v>
      </c>
      <c r="K8" s="3">
        <v>18</v>
      </c>
      <c r="L8" s="3">
        <v>243237.5</v>
      </c>
      <c r="M8" s="3">
        <v>0</v>
      </c>
    </row>
    <row r="9" spans="1:13" x14ac:dyDescent="0.25">
      <c r="A9" t="s">
        <v>36</v>
      </c>
      <c r="B9" t="s">
        <v>37</v>
      </c>
      <c r="C9" t="s">
        <v>38</v>
      </c>
      <c r="D9" s="2" t="s">
        <v>35</v>
      </c>
      <c r="E9" s="3">
        <v>235056</v>
      </c>
      <c r="F9" t="s">
        <v>24</v>
      </c>
      <c r="G9" s="1" t="s">
        <v>25</v>
      </c>
      <c r="I9" t="s">
        <v>26</v>
      </c>
      <c r="K9" s="3">
        <v>18</v>
      </c>
      <c r="L9" s="3">
        <v>199200</v>
      </c>
      <c r="M9" s="3">
        <v>0</v>
      </c>
    </row>
    <row r="10" spans="1:13" x14ac:dyDescent="0.25">
      <c r="A10" t="s">
        <v>39</v>
      </c>
      <c r="B10" t="s">
        <v>40</v>
      </c>
      <c r="C10" t="s">
        <v>41</v>
      </c>
      <c r="D10" s="2" t="s">
        <v>35</v>
      </c>
      <c r="E10" s="3">
        <v>355460</v>
      </c>
      <c r="F10" t="s">
        <v>24</v>
      </c>
      <c r="G10" s="1" t="s">
        <v>25</v>
      </c>
      <c r="I10" t="s">
        <v>26</v>
      </c>
      <c r="K10" s="3">
        <v>18</v>
      </c>
      <c r="L10" s="3">
        <v>301237.5</v>
      </c>
      <c r="M10" s="3">
        <v>0</v>
      </c>
    </row>
    <row r="11" spans="1:13" x14ac:dyDescent="0.25">
      <c r="A11" t="s">
        <v>20</v>
      </c>
      <c r="B11" t="s">
        <v>21</v>
      </c>
      <c r="C11" t="s">
        <v>42</v>
      </c>
      <c r="D11" s="2" t="s">
        <v>35</v>
      </c>
      <c r="E11" s="3">
        <v>324547</v>
      </c>
      <c r="F11" t="s">
        <v>24</v>
      </c>
      <c r="G11" s="1" t="s">
        <v>25</v>
      </c>
      <c r="I11" t="s">
        <v>26</v>
      </c>
      <c r="K11" s="3">
        <v>18</v>
      </c>
      <c r="L11" s="3">
        <v>275040</v>
      </c>
      <c r="M11" s="3">
        <v>0</v>
      </c>
    </row>
    <row r="12" spans="1:13" x14ac:dyDescent="0.25">
      <c r="A12" t="s">
        <v>31</v>
      </c>
      <c r="B12" t="s">
        <v>32</v>
      </c>
      <c r="C12" t="s">
        <v>43</v>
      </c>
      <c r="D12" s="2" t="s">
        <v>44</v>
      </c>
      <c r="E12" s="3">
        <v>322555</v>
      </c>
      <c r="F12" t="s">
        <v>24</v>
      </c>
      <c r="G12" s="1" t="s">
        <v>25</v>
      </c>
      <c r="I12" t="s">
        <v>26</v>
      </c>
      <c r="K12" s="3">
        <v>18</v>
      </c>
      <c r="L12" s="3">
        <v>273352</v>
      </c>
      <c r="M12" s="3">
        <v>0</v>
      </c>
    </row>
    <row r="13" spans="1:13" x14ac:dyDescent="0.25">
      <c r="A13" t="s">
        <v>20</v>
      </c>
      <c r="B13" t="s">
        <v>21</v>
      </c>
      <c r="C13" t="s">
        <v>45</v>
      </c>
      <c r="D13" s="2" t="s">
        <v>46</v>
      </c>
      <c r="E13" s="3">
        <v>411631</v>
      </c>
      <c r="F13" t="s">
        <v>24</v>
      </c>
      <c r="G13" s="1" t="s">
        <v>25</v>
      </c>
      <c r="I13" t="s">
        <v>26</v>
      </c>
      <c r="K13" s="3">
        <v>18</v>
      </c>
      <c r="L13" s="3">
        <v>348840</v>
      </c>
      <c r="M13" s="3">
        <v>0</v>
      </c>
    </row>
    <row r="14" spans="1:13" x14ac:dyDescent="0.25">
      <c r="A14" t="s">
        <v>27</v>
      </c>
      <c r="B14" t="s">
        <v>28</v>
      </c>
      <c r="C14" t="s">
        <v>47</v>
      </c>
      <c r="D14" s="2" t="s">
        <v>48</v>
      </c>
      <c r="E14" s="3">
        <v>395241</v>
      </c>
      <c r="F14" t="s">
        <v>24</v>
      </c>
      <c r="G14" s="1" t="s">
        <v>25</v>
      </c>
      <c r="I14" t="s">
        <v>26</v>
      </c>
      <c r="K14" s="3">
        <v>18</v>
      </c>
      <c r="L14" s="3">
        <v>334950</v>
      </c>
      <c r="M14" s="3">
        <v>0</v>
      </c>
    </row>
    <row r="15" spans="1:13" x14ac:dyDescent="0.25">
      <c r="A15" t="s">
        <v>49</v>
      </c>
      <c r="B15" t="s">
        <v>50</v>
      </c>
      <c r="C15" t="s">
        <v>51</v>
      </c>
      <c r="D15" s="2" t="s">
        <v>52</v>
      </c>
      <c r="E15" s="3">
        <v>424346</v>
      </c>
      <c r="F15" t="s">
        <v>24</v>
      </c>
      <c r="G15" s="1" t="s">
        <v>25</v>
      </c>
      <c r="I15" t="s">
        <v>26</v>
      </c>
      <c r="K15" s="3">
        <v>18</v>
      </c>
      <c r="L15" s="3">
        <v>359615</v>
      </c>
      <c r="M15" s="3">
        <v>0</v>
      </c>
    </row>
    <row r="16" spans="1:13" x14ac:dyDescent="0.25">
      <c r="A16" t="s">
        <v>31</v>
      </c>
      <c r="B16" t="s">
        <v>32</v>
      </c>
      <c r="C16" t="s">
        <v>53</v>
      </c>
      <c r="D16" s="2" t="s">
        <v>54</v>
      </c>
      <c r="E16" s="3">
        <v>358157</v>
      </c>
      <c r="F16" t="s">
        <v>24</v>
      </c>
      <c r="G16" s="1" t="s">
        <v>25</v>
      </c>
      <c r="I16" t="s">
        <v>26</v>
      </c>
      <c r="K16" s="3">
        <v>18</v>
      </c>
      <c r="L16" s="3">
        <v>303522.5</v>
      </c>
      <c r="M16" s="3">
        <v>0</v>
      </c>
    </row>
    <row r="17" spans="1:13" x14ac:dyDescent="0.25">
      <c r="A17" t="s">
        <v>55</v>
      </c>
      <c r="B17" t="s">
        <v>56</v>
      </c>
      <c r="C17" t="s">
        <v>57</v>
      </c>
      <c r="D17" s="2" t="s">
        <v>58</v>
      </c>
      <c r="E17" s="3">
        <v>359335</v>
      </c>
      <c r="F17" t="s">
        <v>24</v>
      </c>
      <c r="G17" s="1" t="s">
        <v>25</v>
      </c>
      <c r="I17" t="s">
        <v>26</v>
      </c>
      <c r="K17" s="3">
        <v>18</v>
      </c>
      <c r="L17" s="3">
        <v>304521</v>
      </c>
      <c r="M17" s="3">
        <v>0</v>
      </c>
    </row>
    <row r="18" spans="1:13" x14ac:dyDescent="0.25">
      <c r="A18" t="s">
        <v>39</v>
      </c>
      <c r="B18" t="s">
        <v>40</v>
      </c>
      <c r="C18" t="s">
        <v>59</v>
      </c>
      <c r="D18" s="2" t="s">
        <v>58</v>
      </c>
      <c r="E18" s="3">
        <v>41021</v>
      </c>
      <c r="F18" t="s">
        <v>24</v>
      </c>
      <c r="G18" s="1" t="s">
        <v>25</v>
      </c>
      <c r="I18" t="s">
        <v>26</v>
      </c>
      <c r="K18" s="3">
        <v>18</v>
      </c>
      <c r="L18" s="3">
        <v>34763.75</v>
      </c>
      <c r="M18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.42578125" customWidth="1"/>
    <col min="2" max="2" width="14.85546875" customWidth="1"/>
    <col min="3" max="3" width="23.28515625" customWidth="1"/>
    <col min="4" max="4" width="20" style="2" customWidth="1"/>
    <col min="5" max="5" width="23.140625" customWidth="1"/>
    <col min="6" max="6" width="19.85546875" style="2" customWidth="1"/>
    <col min="7" max="7" width="18.5703125" style="3" customWidth="1"/>
    <col min="8" max="8" width="15.28515625" customWidth="1"/>
    <col min="9" max="9" width="15.28515625" style="1" customWidth="1"/>
    <col min="10" max="10" width="23.42578125" style="3" customWidth="1"/>
    <col min="11" max="11" width="12.7109375" customWidth="1"/>
    <col min="12" max="12" width="18.7109375" customWidth="1"/>
    <col min="13" max="13" width="9.140625" style="3" customWidth="1"/>
    <col min="14" max="14" width="19" style="3" customWidth="1"/>
    <col min="15" max="15" width="13.140625" style="3" customWidth="1"/>
  </cols>
  <sheetData>
    <row r="1" spans="1:15" x14ac:dyDescent="0.25">
      <c r="A1" s="4" t="s">
        <v>60</v>
      </c>
      <c r="B1" s="15" t="s">
        <v>61</v>
      </c>
      <c r="C1" s="15"/>
      <c r="D1" s="16"/>
      <c r="E1" s="17" t="s">
        <v>62</v>
      </c>
      <c r="F1" s="18"/>
      <c r="G1" s="19"/>
      <c r="H1" s="17"/>
      <c r="I1" s="17"/>
      <c r="J1" s="19"/>
      <c r="K1" s="17"/>
      <c r="L1" s="17"/>
      <c r="M1" s="19"/>
      <c r="N1" s="19"/>
      <c r="O1" s="19"/>
    </row>
    <row r="2" spans="1:15" x14ac:dyDescent="0.25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 spans="1:15" x14ac:dyDescent="0.25">
      <c r="A4" s="8" t="s">
        <v>7</v>
      </c>
      <c r="B4" s="8" t="s">
        <v>8</v>
      </c>
      <c r="C4" s="8" t="s">
        <v>63</v>
      </c>
      <c r="D4" s="9" t="s">
        <v>64</v>
      </c>
      <c r="E4" s="12" t="s">
        <v>65</v>
      </c>
      <c r="F4" s="13" t="s">
        <v>66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 count="2">
    <mergeCell ref="B1:D1"/>
    <mergeCell ref="E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2.42578125" style="2" customWidth="1"/>
    <col min="3" max="3" width="18.5703125" style="3" customWidth="1"/>
    <col min="4" max="4" width="15.28515625" customWidth="1"/>
    <col min="5" max="5" width="23.42578125" style="3" customWidth="1"/>
    <col min="6" max="6" width="9.140625" style="3" customWidth="1"/>
    <col min="7" max="7" width="19" style="3" customWidth="1"/>
    <col min="8" max="8" width="13.140625" style="3" customWidth="1"/>
    <col min="9" max="9" width="18.7109375" customWidth="1"/>
    <col min="10" max="10" width="21.140625" customWidth="1"/>
  </cols>
  <sheetData>
    <row r="1" spans="1:10" x14ac:dyDescent="0.25">
      <c r="A1" s="4" t="s">
        <v>67</v>
      </c>
    </row>
    <row r="2" spans="1:10" x14ac:dyDescent="0.25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 spans="1:10" x14ac:dyDescent="0.25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3.28515625" customWidth="1"/>
    <col min="2" max="2" width="20" style="2" customWidth="1"/>
    <col min="3" max="3" width="22.85546875" customWidth="1"/>
    <col min="4" max="4" width="23.140625" customWidth="1"/>
    <col min="5" max="5" width="19.85546875" style="2" customWidth="1"/>
    <col min="6" max="6" width="18.5703125" style="3" customWidth="1"/>
    <col min="7" max="7" width="23.42578125" style="3" customWidth="1"/>
    <col min="8" max="8" width="9.140625" style="3" customWidth="1"/>
    <col min="9" max="9" width="19" style="3" customWidth="1"/>
    <col min="10" max="10" width="13.140625" style="3" customWidth="1"/>
    <col min="11" max="11" width="18.7109375" customWidth="1"/>
    <col min="12" max="12" width="21.140625" customWidth="1"/>
  </cols>
  <sheetData>
    <row r="1" spans="1:12" x14ac:dyDescent="0.25">
      <c r="A1" s="4" t="s">
        <v>69</v>
      </c>
      <c r="B1" s="16" t="s">
        <v>61</v>
      </c>
      <c r="C1" s="15"/>
      <c r="D1" s="17" t="s">
        <v>62</v>
      </c>
      <c r="E1" s="18"/>
      <c r="F1" s="19"/>
      <c r="G1" s="19"/>
      <c r="H1" s="19"/>
      <c r="I1" s="19"/>
      <c r="J1" s="19"/>
      <c r="K1" s="17"/>
      <c r="L1" s="17"/>
    </row>
    <row r="2" spans="1:12" x14ac:dyDescent="0.25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 spans="1:12" x14ac:dyDescent="0.25">
      <c r="A4" s="8" t="s">
        <v>63</v>
      </c>
      <c r="B4" s="9" t="s">
        <v>64</v>
      </c>
      <c r="C4" s="8" t="s">
        <v>70</v>
      </c>
      <c r="D4" s="12" t="s">
        <v>65</v>
      </c>
      <c r="E4" s="13" t="s">
        <v>66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68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5.28515625" customWidth="1"/>
    <col min="3" max="3" width="23.42578125" style="3" customWidth="1"/>
    <col min="4" max="4" width="9.140625" style="3" customWidth="1"/>
    <col min="5" max="5" width="19" style="3" customWidth="1"/>
    <col min="6" max="6" width="13.140625" style="3" customWidth="1"/>
    <col min="7" max="7" width="18.7109375" customWidth="1"/>
  </cols>
  <sheetData>
    <row r="1" spans="1:7" x14ac:dyDescent="0.25">
      <c r="A1" s="4" t="s">
        <v>71</v>
      </c>
    </row>
    <row r="2" spans="1:7" x14ac:dyDescent="0.25">
      <c r="A2" s="4"/>
      <c r="B2" s="4"/>
      <c r="C2" s="6"/>
      <c r="D2" s="6"/>
      <c r="E2" s="11" t="s">
        <v>5</v>
      </c>
      <c r="F2" s="11" t="s">
        <v>6</v>
      </c>
      <c r="G2" s="4"/>
    </row>
    <row r="4" spans="1:7" x14ac:dyDescent="0.25">
      <c r="A4" s="8" t="s">
        <v>72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.5703125" customWidth="1"/>
    <col min="2" max="2" width="15.140625" customWidth="1"/>
    <col min="3" max="3" width="15.28515625" customWidth="1"/>
    <col min="4" max="4" width="9.140625" customWidth="1"/>
    <col min="5" max="5" width="23.42578125" style="3" customWidth="1"/>
    <col min="6" max="6" width="9.140625" style="3" customWidth="1"/>
    <col min="7" max="7" width="19" style="3" customWidth="1"/>
    <col min="8" max="8" width="13.140625" style="3" customWidth="1"/>
    <col min="9" max="9" width="18.7109375" customWidth="1"/>
  </cols>
  <sheetData>
    <row r="1" spans="1:9" x14ac:dyDescent="0.25">
      <c r="A1" s="4" t="s">
        <v>73</v>
      </c>
      <c r="B1" s="15" t="s">
        <v>61</v>
      </c>
      <c r="C1" s="17" t="s">
        <v>62</v>
      </c>
      <c r="D1" s="17"/>
      <c r="E1" s="19"/>
      <c r="F1" s="19"/>
      <c r="G1" s="19"/>
      <c r="H1" s="19"/>
      <c r="I1" s="17"/>
    </row>
    <row r="2" spans="1:9" x14ac:dyDescent="0.25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 spans="1:9" x14ac:dyDescent="0.25">
      <c r="A4" s="8" t="s">
        <v>74</v>
      </c>
      <c r="B4" s="8" t="s">
        <v>75</v>
      </c>
      <c r="C4" s="12" t="s">
        <v>12</v>
      </c>
      <c r="D4" s="12" t="s">
        <v>72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 count="2">
    <mergeCell ref="B1"/>
    <mergeCell ref="C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>
      <pane ySplit="4" topLeftCell="A5" activePane="bottomLeft" state="frozen"/>
      <selection pane="bottomLeft" activeCell="L25" sqref="L25"/>
    </sheetView>
  </sheetViews>
  <sheetFormatPr defaultRowHeight="15" x14ac:dyDescent="0.25"/>
  <cols>
    <col min="1" max="1" width="22.5703125" customWidth="1"/>
    <col min="2" max="2" width="20.5703125" customWidth="1"/>
    <col min="3" max="3" width="13.7109375" customWidth="1"/>
    <col min="4" max="4" width="12.5703125" style="2" customWidth="1"/>
    <col min="5" max="5" width="10.7109375" style="1" customWidth="1"/>
    <col min="6" max="6" width="15.28515625" customWidth="1"/>
    <col min="7" max="7" width="15.28515625" style="1" customWidth="1"/>
    <col min="8" max="8" width="17.140625" customWidth="1"/>
    <col min="9" max="9" width="16.42578125" style="3" customWidth="1"/>
    <col min="10" max="10" width="23.42578125" style="3" customWidth="1"/>
    <col min="11" max="11" width="9.140625" style="3" customWidth="1"/>
    <col min="12" max="12" width="19" style="3" customWidth="1"/>
    <col min="13" max="13" width="13.140625" style="3" customWidth="1"/>
  </cols>
  <sheetData>
    <row r="1" spans="1:13" x14ac:dyDescent="0.25">
      <c r="A1" s="4" t="s">
        <v>76</v>
      </c>
    </row>
    <row r="2" spans="1:13" x14ac:dyDescent="0.25">
      <c r="A2" s="7" t="s">
        <v>77</v>
      </c>
      <c r="B2" s="4"/>
      <c r="C2" s="7" t="s">
        <v>78</v>
      </c>
      <c r="D2" s="5"/>
      <c r="E2" s="7"/>
      <c r="F2" s="4"/>
      <c r="G2" s="7"/>
      <c r="H2" s="4"/>
      <c r="I2" s="11" t="s">
        <v>79</v>
      </c>
      <c r="J2" s="6"/>
      <c r="K2" s="6"/>
      <c r="L2" s="11" t="s">
        <v>5</v>
      </c>
      <c r="M2" s="11" t="s">
        <v>6</v>
      </c>
    </row>
    <row r="3" spans="1:13" x14ac:dyDescent="0.25">
      <c r="A3">
        <v>1</v>
      </c>
      <c r="C3">
        <v>1</v>
      </c>
      <c r="I3" s="3">
        <f>SUM(I5:I5)</f>
        <v>37385</v>
      </c>
      <c r="L3" s="3">
        <f>SUM(L5:L5)</f>
        <v>31682.5</v>
      </c>
      <c r="M3" s="3">
        <f>SUM(M5:M5)</f>
        <v>0</v>
      </c>
    </row>
    <row r="4" spans="1:13" x14ac:dyDescent="0.25">
      <c r="A4" s="8" t="s">
        <v>7</v>
      </c>
      <c r="B4" s="8" t="s">
        <v>8</v>
      </c>
      <c r="C4" s="8" t="s">
        <v>80</v>
      </c>
      <c r="D4" s="9" t="s">
        <v>81</v>
      </c>
      <c r="E4" s="8" t="s">
        <v>82</v>
      </c>
      <c r="F4" s="8" t="s">
        <v>12</v>
      </c>
      <c r="G4" s="8" t="s">
        <v>13</v>
      </c>
      <c r="H4" s="8" t="s">
        <v>83</v>
      </c>
      <c r="I4" s="10" t="s">
        <v>84</v>
      </c>
      <c r="J4" s="10" t="s">
        <v>14</v>
      </c>
      <c r="K4" s="10" t="s">
        <v>17</v>
      </c>
      <c r="L4" s="10" t="s">
        <v>18</v>
      </c>
      <c r="M4" s="10" t="s">
        <v>19</v>
      </c>
    </row>
    <row r="5" spans="1:13" x14ac:dyDescent="0.25">
      <c r="A5" t="s">
        <v>39</v>
      </c>
      <c r="B5" t="s">
        <v>40</v>
      </c>
      <c r="C5" t="s">
        <v>85</v>
      </c>
      <c r="D5" s="2" t="s">
        <v>58</v>
      </c>
      <c r="E5" s="1" t="s">
        <v>86</v>
      </c>
      <c r="F5" t="s">
        <v>24</v>
      </c>
      <c r="G5" s="1" t="s">
        <v>25</v>
      </c>
      <c r="H5" t="s">
        <v>26</v>
      </c>
      <c r="I5" s="3">
        <v>37385</v>
      </c>
      <c r="K5" s="3">
        <v>18</v>
      </c>
      <c r="L5" s="3">
        <v>31682.5</v>
      </c>
      <c r="M5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.42578125" customWidth="1"/>
    <col min="2" max="2" width="14.85546875" customWidth="1"/>
    <col min="3" max="3" width="22" customWidth="1"/>
    <col min="4" max="4" width="18.140625" style="2" customWidth="1"/>
    <col min="5" max="5" width="21.140625" customWidth="1"/>
    <col min="6" max="6" width="18" style="2" customWidth="1"/>
    <col min="7" max="7" width="10.7109375" style="1" customWidth="1"/>
    <col min="8" max="8" width="15.28515625" customWidth="1"/>
    <col min="9" max="9" width="15.28515625" style="1" customWidth="1"/>
    <col min="10" max="10" width="17.140625" customWidth="1"/>
    <col min="11" max="11" width="16.42578125" style="3" customWidth="1"/>
    <col min="12" max="12" width="23.42578125" style="3" customWidth="1"/>
    <col min="13" max="13" width="9.140625" style="3" customWidth="1"/>
    <col min="14" max="14" width="19" style="3" customWidth="1"/>
    <col min="15" max="15" width="13.140625" style="3" customWidth="1"/>
  </cols>
  <sheetData>
    <row r="1" spans="1:15" x14ac:dyDescent="0.25">
      <c r="A1" s="4" t="s">
        <v>87</v>
      </c>
      <c r="B1" s="15" t="s">
        <v>61</v>
      </c>
      <c r="C1" s="15"/>
      <c r="D1" s="16"/>
      <c r="E1" s="15"/>
      <c r="F1" s="16"/>
      <c r="G1" s="17" t="s">
        <v>62</v>
      </c>
      <c r="H1" s="17"/>
      <c r="I1" s="17"/>
      <c r="J1" s="17"/>
      <c r="K1" s="19"/>
      <c r="L1" s="19"/>
      <c r="M1" s="19"/>
      <c r="N1" s="19"/>
      <c r="O1" s="19"/>
    </row>
    <row r="2" spans="1:15" x14ac:dyDescent="0.25">
      <c r="A2" s="7" t="s">
        <v>77</v>
      </c>
      <c r="B2" s="4"/>
      <c r="C2" s="7" t="s">
        <v>88</v>
      </c>
      <c r="D2" s="5"/>
      <c r="E2" s="4"/>
      <c r="F2" s="5"/>
      <c r="G2" s="7"/>
      <c r="H2" s="4"/>
      <c r="I2" s="7"/>
      <c r="J2" s="4"/>
      <c r="K2" s="11" t="s">
        <v>79</v>
      </c>
      <c r="L2" s="6"/>
      <c r="M2" s="6"/>
      <c r="N2" s="11" t="s">
        <v>5</v>
      </c>
      <c r="O2" s="11" t="s">
        <v>6</v>
      </c>
    </row>
    <row r="4" spans="1:15" x14ac:dyDescent="0.25">
      <c r="A4" s="8" t="s">
        <v>7</v>
      </c>
      <c r="B4" s="8" t="s">
        <v>8</v>
      </c>
      <c r="C4" s="8" t="s">
        <v>89</v>
      </c>
      <c r="D4" s="9" t="s">
        <v>90</v>
      </c>
      <c r="E4" s="8" t="s">
        <v>91</v>
      </c>
      <c r="F4" s="9" t="s">
        <v>92</v>
      </c>
      <c r="G4" s="12" t="s">
        <v>82</v>
      </c>
      <c r="H4" s="12" t="s">
        <v>12</v>
      </c>
      <c r="I4" s="12" t="s">
        <v>13</v>
      </c>
      <c r="J4" s="12" t="s">
        <v>83</v>
      </c>
      <c r="K4" s="14" t="s">
        <v>84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 count="2">
    <mergeCell ref="B1:F1"/>
    <mergeCell ref="G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22" customWidth="1"/>
    <col min="3" max="3" width="10.5703125" style="2" customWidth="1"/>
    <col min="4" max="4" width="10.7109375" style="1" customWidth="1"/>
    <col min="5" max="5" width="15.28515625" customWidth="1"/>
    <col min="6" max="6" width="16.42578125" style="3" customWidth="1"/>
    <col min="7" max="7" width="23.42578125" style="3" customWidth="1"/>
    <col min="8" max="8" width="9.140625" style="3" customWidth="1"/>
    <col min="9" max="9" width="19" style="3" customWidth="1"/>
    <col min="10" max="10" width="13.140625" style="3" customWidth="1"/>
  </cols>
  <sheetData>
    <row r="1" spans="1:10" x14ac:dyDescent="0.25">
      <c r="A1" s="4" t="s">
        <v>93</v>
      </c>
    </row>
    <row r="2" spans="1:10" x14ac:dyDescent="0.25">
      <c r="A2" s="4"/>
      <c r="B2" s="7" t="s">
        <v>88</v>
      </c>
      <c r="C2" s="5"/>
      <c r="D2" s="7"/>
      <c r="E2" s="4"/>
      <c r="F2" s="11" t="s">
        <v>79</v>
      </c>
      <c r="G2" s="6"/>
      <c r="H2" s="6"/>
      <c r="I2" s="11" t="s">
        <v>5</v>
      </c>
      <c r="J2" s="11" t="s">
        <v>6</v>
      </c>
    </row>
    <row r="4" spans="1:10" x14ac:dyDescent="0.25">
      <c r="A4" s="8" t="s">
        <v>94</v>
      </c>
      <c r="B4" s="8" t="s">
        <v>80</v>
      </c>
      <c r="C4" s="9" t="s">
        <v>81</v>
      </c>
      <c r="D4" s="8" t="s">
        <v>82</v>
      </c>
      <c r="E4" s="8" t="s">
        <v>12</v>
      </c>
      <c r="F4" s="10" t="s">
        <v>84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1.7109375" customWidth="1"/>
    <col min="2" max="2" width="22" customWidth="1"/>
    <col min="3" max="3" width="18.140625" style="2" customWidth="1"/>
    <col min="4" max="4" width="21.140625" customWidth="1"/>
    <col min="5" max="5" width="18" style="2" customWidth="1"/>
    <col min="6" max="6" width="10.7109375" style="1" customWidth="1"/>
    <col min="7" max="7" width="15.28515625" customWidth="1"/>
    <col min="8" max="8" width="16.42578125" style="3" customWidth="1"/>
    <col min="9" max="9" width="23.42578125" style="3" customWidth="1"/>
    <col min="10" max="10" width="9.140625" style="3" customWidth="1"/>
    <col min="11" max="11" width="19" style="3" customWidth="1"/>
    <col min="12" max="12" width="13.140625" style="3" customWidth="1"/>
  </cols>
  <sheetData>
    <row r="1" spans="1:12" x14ac:dyDescent="0.25">
      <c r="A1" s="4" t="s">
        <v>95</v>
      </c>
      <c r="B1" s="15" t="s">
        <v>61</v>
      </c>
      <c r="C1" s="16"/>
      <c r="D1" s="15"/>
      <c r="E1" s="16"/>
      <c r="F1" s="17" t="s">
        <v>62</v>
      </c>
      <c r="G1" s="17"/>
      <c r="H1" s="19"/>
      <c r="I1" s="19"/>
      <c r="J1" s="19"/>
      <c r="K1" s="19"/>
      <c r="L1" s="19"/>
    </row>
    <row r="2" spans="1:12" x14ac:dyDescent="0.25">
      <c r="A2" s="4"/>
      <c r="B2" s="7" t="s">
        <v>88</v>
      </c>
      <c r="C2" s="5"/>
      <c r="D2" s="4"/>
      <c r="E2" s="5"/>
      <c r="F2" s="7"/>
      <c r="G2" s="4"/>
      <c r="H2" s="11" t="s">
        <v>79</v>
      </c>
      <c r="I2" s="6"/>
      <c r="J2" s="6"/>
      <c r="K2" s="11" t="s">
        <v>5</v>
      </c>
      <c r="L2" s="11" t="s">
        <v>6</v>
      </c>
    </row>
    <row r="4" spans="1:12" x14ac:dyDescent="0.25">
      <c r="A4" s="8" t="s">
        <v>94</v>
      </c>
      <c r="B4" s="8" t="s">
        <v>89</v>
      </c>
      <c r="C4" s="9" t="s">
        <v>90</v>
      </c>
      <c r="D4" s="8" t="s">
        <v>91</v>
      </c>
      <c r="E4" s="9" t="s">
        <v>92</v>
      </c>
      <c r="F4" s="12" t="s">
        <v>82</v>
      </c>
      <c r="G4" s="12" t="s">
        <v>12</v>
      </c>
      <c r="H4" s="14" t="s">
        <v>84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 count="2">
    <mergeCell ref="B1:E1"/>
    <mergeCell ref="F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.7109375" customWidth="1"/>
    <col min="2" max="2" width="15.7109375" customWidth="1"/>
    <col min="3" max="3" width="12.42578125" style="2" customWidth="1"/>
    <col min="4" max="4" width="18.5703125" style="3" customWidth="1"/>
    <col min="5" max="5" width="10.28515625" customWidth="1"/>
    <col min="6" max="6" width="20.28515625" customWidth="1"/>
    <col min="7" max="7" width="17.140625" customWidth="1"/>
    <col min="8" max="8" width="9.140625" style="3" customWidth="1"/>
    <col min="9" max="9" width="19" style="3" customWidth="1"/>
    <col min="10" max="10" width="13.140625" style="3" customWidth="1"/>
  </cols>
  <sheetData>
    <row r="1" spans="1:10" x14ac:dyDescent="0.25">
      <c r="A1" s="4" t="s">
        <v>96</v>
      </c>
    </row>
    <row r="2" spans="1:10" x14ac:dyDescent="0.25">
      <c r="A2" s="4"/>
      <c r="B2" s="7" t="s">
        <v>3</v>
      </c>
      <c r="C2" s="5"/>
      <c r="D2" s="11" t="s">
        <v>4</v>
      </c>
      <c r="E2" s="4"/>
      <c r="F2" s="7" t="s">
        <v>97</v>
      </c>
      <c r="G2" s="4"/>
      <c r="H2" s="6"/>
      <c r="I2" s="11" t="s">
        <v>5</v>
      </c>
      <c r="J2" s="11" t="s">
        <v>6</v>
      </c>
    </row>
    <row r="4" spans="1:10" x14ac:dyDescent="0.25">
      <c r="A4" s="8" t="s">
        <v>98</v>
      </c>
      <c r="B4" s="8" t="s">
        <v>9</v>
      </c>
      <c r="C4" s="9" t="s">
        <v>10</v>
      </c>
      <c r="D4" s="10" t="s">
        <v>11</v>
      </c>
      <c r="E4" s="8" t="s">
        <v>99</v>
      </c>
      <c r="F4" s="8" t="s">
        <v>100</v>
      </c>
      <c r="G4" s="8" t="s">
        <v>101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.5703125" customWidth="1"/>
    <col min="2" max="2" width="23.28515625" customWidth="1"/>
    <col min="3" max="3" width="20" style="2" customWidth="1"/>
    <col min="4" max="4" width="23.140625" customWidth="1"/>
    <col min="5" max="5" width="19.85546875" style="2" customWidth="1"/>
    <col min="6" max="6" width="18.5703125" style="3" customWidth="1"/>
    <col min="7" max="7" width="10.28515625" customWidth="1"/>
    <col min="8" max="8" width="20.28515625" customWidth="1"/>
    <col min="9" max="9" width="17.140625" customWidth="1"/>
    <col min="10" max="10" width="9.140625" style="3" customWidth="1"/>
    <col min="11" max="11" width="19" style="3" customWidth="1"/>
    <col min="12" max="12" width="13.140625" style="3" customWidth="1"/>
  </cols>
  <sheetData>
    <row r="1" spans="1:12" x14ac:dyDescent="0.25">
      <c r="A1" s="4" t="s">
        <v>102</v>
      </c>
      <c r="B1" s="15" t="s">
        <v>61</v>
      </c>
      <c r="C1" s="16"/>
      <c r="D1" s="17" t="s">
        <v>62</v>
      </c>
      <c r="E1" s="18"/>
      <c r="F1" s="19"/>
      <c r="G1" s="17"/>
      <c r="H1" s="17"/>
      <c r="I1" s="17"/>
      <c r="J1" s="19"/>
      <c r="K1" s="19"/>
      <c r="L1" s="19"/>
    </row>
    <row r="2" spans="1:12" x14ac:dyDescent="0.25">
      <c r="A2" s="4"/>
      <c r="B2" s="7" t="s">
        <v>3</v>
      </c>
      <c r="C2" s="5"/>
      <c r="D2" s="4"/>
      <c r="E2" s="5"/>
      <c r="F2" s="11" t="s">
        <v>4</v>
      </c>
      <c r="G2" s="4"/>
      <c r="H2" s="7" t="s">
        <v>97</v>
      </c>
      <c r="I2" s="4"/>
      <c r="J2" s="6"/>
      <c r="K2" s="11" t="s">
        <v>5</v>
      </c>
      <c r="L2" s="11" t="s">
        <v>6</v>
      </c>
    </row>
    <row r="4" spans="1:12" x14ac:dyDescent="0.25">
      <c r="A4" s="8" t="s">
        <v>98</v>
      </c>
      <c r="B4" s="8" t="s">
        <v>63</v>
      </c>
      <c r="C4" s="9" t="s">
        <v>64</v>
      </c>
      <c r="D4" s="12" t="s">
        <v>65</v>
      </c>
      <c r="E4" s="13" t="s">
        <v>66</v>
      </c>
      <c r="F4" s="14" t="s">
        <v>11</v>
      </c>
      <c r="G4" s="12" t="s">
        <v>99</v>
      </c>
      <c r="H4" s="12" t="s">
        <v>100</v>
      </c>
      <c r="I4" s="12" t="s">
        <v>101</v>
      </c>
      <c r="J4" s="14" t="s">
        <v>17</v>
      </c>
      <c r="K4" s="14" t="s">
        <v>18</v>
      </c>
      <c r="L4" s="14" t="s">
        <v>19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28515625" customWidth="1"/>
    <col min="2" max="2" width="23.42578125" style="3" customWidth="1"/>
    <col min="3" max="3" width="9.140625" style="3" customWidth="1"/>
    <col min="4" max="4" width="23.85546875" style="3" customWidth="1"/>
    <col min="5" max="5" width="13.140625" style="3" customWidth="1"/>
  </cols>
  <sheetData>
    <row r="1" spans="1:5" x14ac:dyDescent="0.25">
      <c r="A1" s="4" t="s">
        <v>103</v>
      </c>
    </row>
    <row r="2" spans="1:5" x14ac:dyDescent="0.25">
      <c r="A2" s="4"/>
      <c r="B2" s="6"/>
      <c r="C2" s="6"/>
      <c r="D2" s="11" t="s">
        <v>104</v>
      </c>
      <c r="E2" s="11" t="s">
        <v>6</v>
      </c>
    </row>
    <row r="4" spans="1:5" x14ac:dyDescent="0.25">
      <c r="A4" s="8" t="s">
        <v>12</v>
      </c>
      <c r="B4" s="10" t="s">
        <v>14</v>
      </c>
      <c r="C4" s="10" t="s">
        <v>17</v>
      </c>
      <c r="D4" s="10" t="s">
        <v>105</v>
      </c>
      <c r="E4" s="10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1.28515625" customWidth="1"/>
    <col min="2" max="2" width="15.140625" customWidth="1"/>
    <col min="3" max="3" width="22.85546875" customWidth="1"/>
    <col min="4" max="4" width="23.42578125" style="3" customWidth="1"/>
    <col min="5" max="5" width="9.140625" style="3" customWidth="1"/>
    <col min="6" max="6" width="23.85546875" style="3" customWidth="1"/>
    <col min="7" max="7" width="13.140625" style="3" customWidth="1"/>
  </cols>
  <sheetData>
    <row r="1" spans="1:7" x14ac:dyDescent="0.25">
      <c r="A1" s="4" t="s">
        <v>106</v>
      </c>
      <c r="B1" s="15" t="s">
        <v>61</v>
      </c>
      <c r="C1" s="15"/>
      <c r="D1" s="19" t="s">
        <v>62</v>
      </c>
      <c r="E1" s="19"/>
      <c r="F1" s="19"/>
      <c r="G1" s="19"/>
    </row>
    <row r="2" spans="1:7" x14ac:dyDescent="0.25">
      <c r="A2" s="4"/>
      <c r="B2" s="4"/>
      <c r="C2" s="4"/>
      <c r="D2" s="6"/>
      <c r="E2" s="6"/>
      <c r="F2" s="11" t="s">
        <v>104</v>
      </c>
      <c r="G2" s="11" t="s">
        <v>6</v>
      </c>
    </row>
    <row r="4" spans="1:7" x14ac:dyDescent="0.25">
      <c r="A4" s="8" t="s">
        <v>74</v>
      </c>
      <c r="B4" s="8" t="s">
        <v>75</v>
      </c>
      <c r="C4" s="8" t="s">
        <v>70</v>
      </c>
      <c r="D4" s="14" t="s">
        <v>14</v>
      </c>
      <c r="E4" s="14" t="s">
        <v>17</v>
      </c>
      <c r="F4" s="14" t="s">
        <v>105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28515625" customWidth="1"/>
    <col min="2" max="2" width="23.42578125" style="3" customWidth="1"/>
    <col min="3" max="3" width="9.140625" style="3" customWidth="1"/>
    <col min="4" max="4" width="23.85546875" style="3" customWidth="1"/>
    <col min="5" max="5" width="13.140625" style="3" customWidth="1"/>
  </cols>
  <sheetData>
    <row r="1" spans="1:5" x14ac:dyDescent="0.25">
      <c r="A1" s="4" t="s">
        <v>107</v>
      </c>
    </row>
    <row r="2" spans="1:5" x14ac:dyDescent="0.25">
      <c r="A2" s="4"/>
      <c r="B2" s="6"/>
      <c r="C2" s="6"/>
      <c r="D2" s="11" t="s">
        <v>108</v>
      </c>
      <c r="E2" s="11" t="s">
        <v>6</v>
      </c>
    </row>
    <row r="4" spans="1:5" x14ac:dyDescent="0.25">
      <c r="A4" s="8" t="s">
        <v>12</v>
      </c>
      <c r="B4" s="10" t="s">
        <v>14</v>
      </c>
      <c r="C4" s="10" t="s">
        <v>17</v>
      </c>
      <c r="D4" s="10" t="s">
        <v>109</v>
      </c>
      <c r="E4" s="10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8.85546875" customWidth="1"/>
    <col min="2" max="2" width="15.140625" customWidth="1"/>
    <col min="3" max="3" width="22.85546875" customWidth="1"/>
    <col min="4" max="4" width="23.42578125" style="3" customWidth="1"/>
    <col min="5" max="5" width="9.140625" style="3" customWidth="1"/>
    <col min="6" max="6" width="23.85546875" style="3" customWidth="1"/>
    <col min="7" max="7" width="13.140625" style="3" customWidth="1"/>
  </cols>
  <sheetData>
    <row r="1" spans="1:7" x14ac:dyDescent="0.25">
      <c r="A1" s="4" t="s">
        <v>110</v>
      </c>
      <c r="B1" s="15" t="s">
        <v>61</v>
      </c>
      <c r="C1" s="15"/>
      <c r="D1" s="19" t="s">
        <v>62</v>
      </c>
      <c r="E1" s="19"/>
      <c r="F1" s="19"/>
      <c r="G1" s="19"/>
    </row>
    <row r="2" spans="1:7" x14ac:dyDescent="0.25">
      <c r="A2" s="4"/>
      <c r="B2" s="4"/>
      <c r="C2" s="4"/>
      <c r="D2" s="6"/>
      <c r="E2" s="6"/>
      <c r="F2" s="11" t="s">
        <v>108</v>
      </c>
      <c r="G2" s="11" t="s">
        <v>6</v>
      </c>
    </row>
    <row r="4" spans="1:7" x14ac:dyDescent="0.25">
      <c r="A4" s="8" t="s">
        <v>74</v>
      </c>
      <c r="B4" s="8" t="s">
        <v>75</v>
      </c>
      <c r="C4" s="8" t="s">
        <v>70</v>
      </c>
      <c r="D4" s="14" t="s">
        <v>14</v>
      </c>
      <c r="E4" s="14" t="s">
        <v>17</v>
      </c>
      <c r="F4" s="14" t="s">
        <v>109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2.42578125" customWidth="1"/>
    <col min="2" max="2" width="22.7109375" style="3" customWidth="1"/>
    <col min="3" max="3" width="44.140625" style="3" customWidth="1"/>
    <col min="4" max="4" width="22.28515625" style="3" customWidth="1"/>
  </cols>
  <sheetData>
    <row r="1" spans="1:4" x14ac:dyDescent="0.25">
      <c r="A1" s="4" t="s">
        <v>111</v>
      </c>
    </row>
    <row r="2" spans="1:4" x14ac:dyDescent="0.25">
      <c r="A2" s="4"/>
      <c r="B2" s="11" t="s">
        <v>112</v>
      </c>
      <c r="C2" s="11" t="s">
        <v>113</v>
      </c>
      <c r="D2" s="11" t="s">
        <v>114</v>
      </c>
    </row>
    <row r="4" spans="1:4" x14ac:dyDescent="0.25">
      <c r="A4" s="8" t="s">
        <v>115</v>
      </c>
      <c r="B4" s="10" t="s">
        <v>116</v>
      </c>
      <c r="C4" s="10" t="s">
        <v>117</v>
      </c>
      <c r="D4" s="10" t="s">
        <v>118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"/>
  <sheetViews>
    <sheetView workbookViewId="0">
      <pane ySplit="4" topLeftCell="A5" activePane="bottomLeft" state="frozen"/>
      <selection pane="bottomLeft" activeCell="I5" sqref="I5"/>
    </sheetView>
  </sheetViews>
  <sheetFormatPr defaultRowHeight="15" x14ac:dyDescent="0.25"/>
  <cols>
    <col min="1" max="1" width="21.140625" customWidth="1"/>
    <col min="2" max="2" width="25.7109375" customWidth="1"/>
    <col min="3" max="3" width="16.140625" customWidth="1"/>
    <col min="4" max="4" width="14.42578125" customWidth="1"/>
    <col min="5" max="5" width="11.85546875" style="3" customWidth="1"/>
    <col min="6" max="6" width="9.140625" style="3" customWidth="1"/>
    <col min="7" max="7" width="19" style="3" customWidth="1"/>
    <col min="8" max="8" width="22.140625" style="3" customWidth="1"/>
    <col min="9" max="9" width="19.28515625" style="3" customWidth="1"/>
    <col min="10" max="10" width="20.85546875" style="3" customWidth="1"/>
    <col min="11" max="11" width="13.140625" style="3" customWidth="1"/>
  </cols>
  <sheetData>
    <row r="1" spans="1:11" x14ac:dyDescent="0.25">
      <c r="A1" s="4" t="s">
        <v>119</v>
      </c>
    </row>
    <row r="2" spans="1:11" x14ac:dyDescent="0.25">
      <c r="A2" s="7" t="s">
        <v>120</v>
      </c>
      <c r="B2" s="4"/>
      <c r="C2" s="4"/>
      <c r="D2" s="4"/>
      <c r="E2" s="11" t="s">
        <v>121</v>
      </c>
      <c r="F2" s="6"/>
      <c r="G2" s="11" t="s">
        <v>5</v>
      </c>
      <c r="H2" s="11" t="s">
        <v>122</v>
      </c>
      <c r="I2" s="11" t="s">
        <v>123</v>
      </c>
      <c r="J2" s="11" t="s">
        <v>124</v>
      </c>
      <c r="K2" s="11" t="s">
        <v>6</v>
      </c>
    </row>
    <row r="3" spans="1:11" x14ac:dyDescent="0.25">
      <c r="A3">
        <v>1</v>
      </c>
      <c r="E3" s="3">
        <f>SUM(E5:E5)</f>
        <v>4411779.6100000003</v>
      </c>
      <c r="G3" s="3">
        <f>SUM(G5:G5)</f>
        <v>3738796.25</v>
      </c>
      <c r="H3" s="3">
        <f>SUM(H5:H5)</f>
        <v>0</v>
      </c>
      <c r="I3" s="3">
        <f>SUM(I5:I5)</f>
        <v>336491.68</v>
      </c>
      <c r="J3" s="3">
        <f>SUM(J5:J5)</f>
        <v>336491.68</v>
      </c>
      <c r="K3" s="3">
        <f>SUM(K5:K5)</f>
        <v>0</v>
      </c>
    </row>
    <row r="4" spans="1:11" x14ac:dyDescent="0.25">
      <c r="A4" s="8" t="s">
        <v>125</v>
      </c>
      <c r="B4" s="8" t="s">
        <v>115</v>
      </c>
      <c r="C4" s="8" t="s">
        <v>126</v>
      </c>
      <c r="D4" s="8" t="s">
        <v>127</v>
      </c>
      <c r="E4" s="10" t="s">
        <v>121</v>
      </c>
      <c r="F4" s="10" t="s">
        <v>17</v>
      </c>
      <c r="G4" s="10" t="s">
        <v>18</v>
      </c>
      <c r="H4" s="10" t="s">
        <v>128</v>
      </c>
      <c r="I4" s="10" t="s">
        <v>129</v>
      </c>
      <c r="J4" s="10" t="s">
        <v>130</v>
      </c>
      <c r="K4" s="10" t="s">
        <v>19</v>
      </c>
    </row>
    <row r="5" spans="1:11" x14ac:dyDescent="0.25">
      <c r="A5" t="s">
        <v>131</v>
      </c>
      <c r="B5" t="s">
        <v>132</v>
      </c>
      <c r="C5" t="s">
        <v>133</v>
      </c>
      <c r="D5">
        <v>104865</v>
      </c>
      <c r="E5" s="3">
        <v>4411779.6100000003</v>
      </c>
      <c r="F5" s="3">
        <v>18</v>
      </c>
      <c r="G5" s="3">
        <v>3738796.25</v>
      </c>
      <c r="H5" s="3">
        <v>0</v>
      </c>
      <c r="I5" s="3">
        <v>336491.68</v>
      </c>
      <c r="J5" s="3">
        <v>336491.68</v>
      </c>
      <c r="K5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1.140625" customWidth="1"/>
    <col min="2" max="2" width="11.7109375" customWidth="1"/>
    <col min="3" max="3" width="9.140625" customWidth="1"/>
    <col min="4" max="4" width="14.42578125" customWidth="1"/>
    <col min="5" max="5" width="11.5703125" style="3" customWidth="1"/>
    <col min="6" max="6" width="9.140625" style="3" customWidth="1"/>
    <col min="7" max="7" width="19" style="3" customWidth="1"/>
    <col min="8" max="8" width="22.140625" style="3" customWidth="1"/>
    <col min="9" max="9" width="19.28515625" style="3" customWidth="1"/>
    <col min="10" max="10" width="20.85546875" style="3" customWidth="1"/>
    <col min="11" max="11" width="13.140625" style="3" customWidth="1"/>
  </cols>
  <sheetData>
    <row r="1" spans="1:11" x14ac:dyDescent="0.25">
      <c r="A1" s="4" t="s">
        <v>119</v>
      </c>
    </row>
    <row r="2" spans="1:11" x14ac:dyDescent="0.25">
      <c r="A2" s="7" t="s">
        <v>120</v>
      </c>
      <c r="B2" s="4"/>
      <c r="C2" s="4"/>
      <c r="D2" s="4"/>
      <c r="E2" s="11" t="s">
        <v>121</v>
      </c>
      <c r="F2" s="6"/>
      <c r="G2" s="11" t="s">
        <v>5</v>
      </c>
      <c r="H2" s="11" t="s">
        <v>122</v>
      </c>
      <c r="I2" s="11" t="s">
        <v>123</v>
      </c>
      <c r="J2" s="11" t="s">
        <v>124</v>
      </c>
      <c r="K2" s="11" t="s">
        <v>6</v>
      </c>
    </row>
    <row r="4" spans="1:11" x14ac:dyDescent="0.25">
      <c r="A4" s="8" t="s">
        <v>125</v>
      </c>
      <c r="B4" s="8" t="s">
        <v>115</v>
      </c>
      <c r="C4" s="8" t="s">
        <v>126</v>
      </c>
      <c r="D4" s="8" t="s">
        <v>127</v>
      </c>
      <c r="E4" s="10" t="s">
        <v>121</v>
      </c>
      <c r="F4" s="10" t="s">
        <v>17</v>
      </c>
      <c r="G4" s="10" t="s">
        <v>18</v>
      </c>
      <c r="H4" s="10" t="s">
        <v>128</v>
      </c>
      <c r="I4" s="10" t="s">
        <v>129</v>
      </c>
      <c r="J4" s="10" t="s">
        <v>130</v>
      </c>
      <c r="K4" s="10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9"/>
  <sheetViews>
    <sheetView tabSelected="1" zoomScale="115" zoomScaleNormal="115" workbookViewId="0">
      <pane ySplit="4" topLeftCell="A5" activePane="bottomLeft" state="frozen"/>
      <selection pane="bottomLeft" activeCell="G20" sqref="G20"/>
    </sheetView>
  </sheetViews>
  <sheetFormatPr defaultRowHeight="15" x14ac:dyDescent="0.25"/>
  <cols>
    <col min="1" max="1" width="51.85546875" customWidth="1"/>
    <col min="2" max="3" width="17.140625" customWidth="1"/>
    <col min="4" max="4" width="13.85546875" customWidth="1"/>
    <col min="5" max="5" width="15.140625" customWidth="1"/>
  </cols>
  <sheetData>
    <row r="1" spans="1:5" x14ac:dyDescent="0.25">
      <c r="A1" s="4" t="s">
        <v>134</v>
      </c>
    </row>
    <row r="2" spans="1:5" x14ac:dyDescent="0.25">
      <c r="A2" s="4"/>
      <c r="B2" s="4"/>
      <c r="C2" s="4"/>
      <c r="D2" s="7" t="s">
        <v>135</v>
      </c>
      <c r="E2" s="7" t="s">
        <v>136</v>
      </c>
    </row>
    <row r="3" spans="1:5" x14ac:dyDescent="0.25">
      <c r="D3">
        <f>SUM(D5:D19)</f>
        <v>15</v>
      </c>
      <c r="E3">
        <f>SUM(E5:E19)</f>
        <v>0</v>
      </c>
    </row>
    <row r="4" spans="1:5" x14ac:dyDescent="0.25">
      <c r="A4" s="8" t="s">
        <v>137</v>
      </c>
      <c r="B4" s="8" t="s">
        <v>138</v>
      </c>
      <c r="C4" s="8" t="s">
        <v>139</v>
      </c>
      <c r="D4" s="8" t="s">
        <v>135</v>
      </c>
      <c r="E4" s="8" t="s">
        <v>140</v>
      </c>
    </row>
    <row r="5" spans="1:5" x14ac:dyDescent="0.25">
      <c r="A5" t="s">
        <v>141</v>
      </c>
      <c r="B5" t="s">
        <v>85</v>
      </c>
      <c r="C5" t="s">
        <v>85</v>
      </c>
      <c r="D5">
        <v>1</v>
      </c>
      <c r="E5">
        <v>0</v>
      </c>
    </row>
    <row r="6" spans="1:5" x14ac:dyDescent="0.25">
      <c r="A6" t="s">
        <v>142</v>
      </c>
      <c r="B6" t="s">
        <v>143</v>
      </c>
      <c r="C6" t="s">
        <v>143</v>
      </c>
      <c r="D6">
        <v>1</v>
      </c>
      <c r="E6">
        <v>0</v>
      </c>
    </row>
    <row r="7" spans="1:5" x14ac:dyDescent="0.25">
      <c r="A7" t="s">
        <v>142</v>
      </c>
      <c r="B7" t="s">
        <v>144</v>
      </c>
      <c r="C7" t="s">
        <v>144</v>
      </c>
      <c r="D7">
        <v>1</v>
      </c>
      <c r="E7">
        <v>0</v>
      </c>
    </row>
    <row r="8" spans="1:5" x14ac:dyDescent="0.25">
      <c r="A8" t="s">
        <v>142</v>
      </c>
      <c r="B8" t="s">
        <v>145</v>
      </c>
      <c r="C8" t="s">
        <v>145</v>
      </c>
      <c r="D8">
        <v>1</v>
      </c>
      <c r="E8">
        <v>0</v>
      </c>
    </row>
    <row r="9" spans="1:5" x14ac:dyDescent="0.25">
      <c r="A9" t="s">
        <v>142</v>
      </c>
      <c r="B9" t="s">
        <v>146</v>
      </c>
      <c r="C9" t="s">
        <v>146</v>
      </c>
      <c r="D9">
        <v>1</v>
      </c>
      <c r="E9">
        <v>0</v>
      </c>
    </row>
    <row r="10" spans="1:5" x14ac:dyDescent="0.25">
      <c r="A10" t="s">
        <v>142</v>
      </c>
      <c r="B10" t="s">
        <v>147</v>
      </c>
      <c r="C10" t="s">
        <v>147</v>
      </c>
      <c r="D10">
        <v>1</v>
      </c>
      <c r="E10">
        <v>0</v>
      </c>
    </row>
    <row r="11" spans="1:5" x14ac:dyDescent="0.25">
      <c r="A11" t="s">
        <v>142</v>
      </c>
      <c r="B11" t="s">
        <v>148</v>
      </c>
      <c r="C11" t="s">
        <v>148</v>
      </c>
      <c r="D11">
        <v>1</v>
      </c>
      <c r="E11">
        <v>0</v>
      </c>
    </row>
    <row r="12" spans="1:5" x14ac:dyDescent="0.25">
      <c r="A12" t="s">
        <v>142</v>
      </c>
      <c r="B12" t="s">
        <v>149</v>
      </c>
      <c r="C12" t="s">
        <v>149</v>
      </c>
      <c r="D12">
        <v>1</v>
      </c>
      <c r="E12">
        <v>0</v>
      </c>
    </row>
    <row r="13" spans="1:5" x14ac:dyDescent="0.25">
      <c r="A13" t="s">
        <v>142</v>
      </c>
      <c r="B13" t="s">
        <v>150</v>
      </c>
      <c r="C13" t="s">
        <v>150</v>
      </c>
      <c r="D13">
        <v>1</v>
      </c>
      <c r="E13">
        <v>0</v>
      </c>
    </row>
    <row r="14" spans="1:5" x14ac:dyDescent="0.25">
      <c r="A14" t="s">
        <v>142</v>
      </c>
      <c r="B14" t="s">
        <v>151</v>
      </c>
      <c r="C14" t="s">
        <v>151</v>
      </c>
      <c r="D14">
        <v>1</v>
      </c>
      <c r="E14">
        <v>0</v>
      </c>
    </row>
    <row r="15" spans="1:5" x14ac:dyDescent="0.25">
      <c r="A15" t="s">
        <v>142</v>
      </c>
      <c r="B15" t="s">
        <v>152</v>
      </c>
      <c r="C15" t="s">
        <v>152</v>
      </c>
      <c r="D15">
        <v>1</v>
      </c>
      <c r="E15">
        <v>0</v>
      </c>
    </row>
    <row r="16" spans="1:5" x14ac:dyDescent="0.25">
      <c r="A16" t="s">
        <v>142</v>
      </c>
      <c r="B16" t="s">
        <v>153</v>
      </c>
      <c r="C16" t="s">
        <v>153</v>
      </c>
      <c r="D16">
        <v>1</v>
      </c>
      <c r="E16">
        <v>0</v>
      </c>
    </row>
    <row r="17" spans="1:5" x14ac:dyDescent="0.25">
      <c r="A17" t="s">
        <v>142</v>
      </c>
      <c r="B17" t="s">
        <v>154</v>
      </c>
      <c r="C17" t="s">
        <v>154</v>
      </c>
      <c r="D17">
        <v>1</v>
      </c>
      <c r="E17">
        <v>0</v>
      </c>
    </row>
    <row r="18" spans="1:5" x14ac:dyDescent="0.25">
      <c r="A18" t="s">
        <v>142</v>
      </c>
      <c r="B18" t="s">
        <v>155</v>
      </c>
      <c r="C18" t="s">
        <v>155</v>
      </c>
      <c r="D18">
        <v>1</v>
      </c>
      <c r="E18">
        <v>0</v>
      </c>
    </row>
    <row r="19" spans="1:5" x14ac:dyDescent="0.25">
      <c r="A19" t="s">
        <v>142</v>
      </c>
      <c r="B19" t="s">
        <v>156</v>
      </c>
      <c r="C19" t="s">
        <v>156</v>
      </c>
      <c r="D19">
        <v>1</v>
      </c>
      <c r="E1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6" customWidth="1"/>
    <col min="2" max="2" width="29.7109375" customWidth="1"/>
    <col min="3" max="3" width="27.28515625" customWidth="1"/>
    <col min="4" max="4" width="25.7109375" style="3" customWidth="1"/>
    <col min="5" max="5" width="19.42578125" style="3" customWidth="1"/>
    <col min="6" max="6" width="16.5703125" style="3" customWidth="1"/>
    <col min="7" max="7" width="18.140625" style="3" customWidth="1"/>
    <col min="8" max="8" width="10.42578125" style="3" customWidth="1"/>
  </cols>
  <sheetData>
    <row r="1" spans="1:8" x14ac:dyDescent="0.25">
      <c r="A1" s="4" t="s">
        <v>157</v>
      </c>
    </row>
    <row r="2" spans="1:8" x14ac:dyDescent="0.25">
      <c r="A2" s="4"/>
      <c r="B2" s="7" t="s">
        <v>158</v>
      </c>
      <c r="C2" s="4"/>
      <c r="D2" s="11" t="s">
        <v>159</v>
      </c>
      <c r="E2" s="11" t="s">
        <v>122</v>
      </c>
      <c r="F2" s="11" t="s">
        <v>123</v>
      </c>
      <c r="G2" s="11" t="s">
        <v>124</v>
      </c>
      <c r="H2" s="11" t="s">
        <v>6</v>
      </c>
    </row>
    <row r="4" spans="1:8" x14ac:dyDescent="0.25">
      <c r="A4" s="8" t="s">
        <v>160</v>
      </c>
      <c r="B4" s="8" t="s">
        <v>161</v>
      </c>
      <c r="C4" s="8" t="s">
        <v>162</v>
      </c>
      <c r="D4" s="10" t="s">
        <v>163</v>
      </c>
      <c r="E4" s="10" t="s">
        <v>164</v>
      </c>
      <c r="F4" s="10" t="s">
        <v>165</v>
      </c>
      <c r="G4" s="10" t="s">
        <v>166</v>
      </c>
      <c r="H4" s="10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Help Instruction</vt:lpstr>
      <vt:lpstr>b2b,sez,de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hsn(b2b)</vt:lpstr>
      <vt:lpstr>hsn(b2c)</vt:lpstr>
      <vt:lpstr>docs</vt:lpstr>
      <vt:lpstr>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modified xsi:type="dcterms:W3CDTF">2026-01-08T04:01:09Z</dcterms:modified>
</cp:coreProperties>
</file>