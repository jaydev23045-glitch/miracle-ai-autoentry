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March 2026/"/>
    </mc:Choice>
  </mc:AlternateContent>
  <xr:revisionPtr revIDLastSave="16" documentId="11_BE269BFD87FBE78925F6A15FC1486572F8026969" xr6:coauthVersionLast="47" xr6:coauthVersionMax="47" xr10:uidLastSave="{EFD2231F-009D-4369-99B1-04005B25A0CA}"/>
  <bookViews>
    <workbookView xWindow="-120" yWindow="-120" windowWidth="24240" windowHeight="13020" firstSheet="9" activeTab="20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8"/>
  <c r="L3" i="8"/>
  <c r="I3" i="8"/>
  <c r="M3" i="2"/>
  <c r="L3" i="2"/>
  <c r="E3" i="2"/>
</calcChain>
</file>

<file path=xl/sharedStrings.xml><?xml version="1.0" encoding="utf-8"?>
<sst xmlns="http://schemas.openxmlformats.org/spreadsheetml/2006/main" count="475" uniqueCount="171">
  <si>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</si>
  <si>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</si>
  <si>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</si>
  <si>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</si>
  <si>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</si>
  <si>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</si>
  <si>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</si>
  <si>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</si>
  <si>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</si>
  <si>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</si>
  <si>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</si>
  <si>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</si>
  <si>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</si>
  <si>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</si>
  <si>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</si>
  <si>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</si>
  <si>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</si>
  <si>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</si>
  <si>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</si>
  <si>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</si>
  <si>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24AAUCS8222R1ZF</t>
  </si>
  <si>
    <t>Shree Raj Castech Private Limited</t>
  </si>
  <si>
    <t>PSPL/130/2025-26</t>
  </si>
  <si>
    <t>01-Mar-2026</t>
  </si>
  <si>
    <t>24-Gujarat</t>
  </si>
  <si>
    <t>N</t>
  </si>
  <si>
    <t>Regular B2B</t>
  </si>
  <si>
    <t>24ABBFP8417C1ZJ</t>
  </si>
  <si>
    <t>Prushti Technocast</t>
  </si>
  <si>
    <t>PSPL/131/2025-26</t>
  </si>
  <si>
    <t>02-Mar-2026</t>
  </si>
  <si>
    <t>24AAXFR7589J1Z3</t>
  </si>
  <si>
    <t>Revolving TechnoCast</t>
  </si>
  <si>
    <t>PSPL/132/2025-26</t>
  </si>
  <si>
    <t>PSPL/133/2025-26</t>
  </si>
  <si>
    <t>PSPL/134/2025-26</t>
  </si>
  <si>
    <t>03-Mar-2026</t>
  </si>
  <si>
    <t>24AALCK7353A1ZP</t>
  </si>
  <si>
    <t>Kiason Metal Cast Private Limited</t>
  </si>
  <si>
    <t>PSPL/135/2025-26</t>
  </si>
  <si>
    <t>06-Mar-2026</t>
  </si>
  <si>
    <t>24ABNFM5795N1ZC</t>
  </si>
  <si>
    <t>Megastic Technocast</t>
  </si>
  <si>
    <t>PSPL/136/2025-26</t>
  </si>
  <si>
    <t>24AQEPK5746K1ZM</t>
  </si>
  <si>
    <t>Krupa Metal</t>
  </si>
  <si>
    <t>PSPL/137/2025-26</t>
  </si>
  <si>
    <t>PSPL/138/2025-26</t>
  </si>
  <si>
    <t>08-Mar-2026</t>
  </si>
  <si>
    <t>PSPL/139/2025-26</t>
  </si>
  <si>
    <t>14-Mar-2026</t>
  </si>
  <si>
    <t>PSPL/140/2025-26</t>
  </si>
  <si>
    <t>PSPL/141/2025-26</t>
  </si>
  <si>
    <t>19-Mar-2026</t>
  </si>
  <si>
    <t>PSPL/142/2025-26</t>
  </si>
  <si>
    <t>21-Mar-2026</t>
  </si>
  <si>
    <t>24AAWFK8276G1ZO</t>
  </si>
  <si>
    <t>Kesar Technocast</t>
  </si>
  <si>
    <t>PSPL/143/2025-26</t>
  </si>
  <si>
    <t>22-Mar-2026</t>
  </si>
  <si>
    <t>PSPL/144/2025-26</t>
  </si>
  <si>
    <t>26-Mar-2026</t>
  </si>
  <si>
    <t>PSPL/145/2025-26</t>
  </si>
  <si>
    <t>24ABDFB1674P1Z7</t>
  </si>
  <si>
    <t>Brahmani Technocast</t>
  </si>
  <si>
    <t>PSPL/146/2025-26</t>
  </si>
  <si>
    <t>28-Mar-2026</t>
  </si>
  <si>
    <t>PSPL/147/2025-26</t>
  </si>
  <si>
    <t>24ABSPG1858M1Z6</t>
  </si>
  <si>
    <t>Asian Casting</t>
  </si>
  <si>
    <t>PSPL/148/2025-26</t>
  </si>
  <si>
    <t>31-Mar-2026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</si>
  <si>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</si>
  <si>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</si>
  <si>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</si>
  <si>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</si>
  <si>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</si>
  <si>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</si>
  <si>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</si>
  <si>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</si>
  <si>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</si>
  <si>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</si>
  <si>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</si>
  <si>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</si>
  <si>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</si>
  <si>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</si>
  <si>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</si>
  <si>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</si>
  <si>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</si>
  <si>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</si>
  <si>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</si>
  <si>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</si>
  <si>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</si>
  <si>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</si>
  <si>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</si>
  <si>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</si>
  <si>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</si>
  <si>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Shree Raj Castech Private</t>
  </si>
  <si>
    <t>CN/02/2025-26</t>
  </si>
  <si>
    <t>11-Mar-2026</t>
  </si>
  <si>
    <t>C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</si>
  <si>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</si>
  <si>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</si>
  <si>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</si>
  <si>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</si>
  <si>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</si>
  <si>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</si>
  <si>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</si>
  <si>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</si>
  <si>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</si>
  <si>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</si>
  <si>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</si>
  <si>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</si>
  <si>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</si>
  <si>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</si>
  <si>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</si>
  <si>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</si>
  <si>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</si>
  <si>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</si>
  <si>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</si>
  <si>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</si>
  <si>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</si>
  <si>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</si>
  <si>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</si>
  <si>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</si>
  <si>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</si>
  <si>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</si>
  <si>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</si>
  <si>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</si>
  <si>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</si>
  <si>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</si>
  <si>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</si>
  <si>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</si>
  <si>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</si>
  <si>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</si>
  <si>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</si>
  <si>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</si>
  <si>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</si>
  <si>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</si>
  <si>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</si>
  <si>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</si>
  <si>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</si>
  <si>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</si>
  <si>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</si>
  <si>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</si>
  <si>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</si>
  <si>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</si>
  <si>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</si>
  <si>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CAST IRON SCRAP BHOOKKI</t>
  </si>
  <si>
    <t>UNT-UNITS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</si>
  <si>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</si>
  <si>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</si>
  <si>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</si>
  <si>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</si>
  <si>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</si>
  <si>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</si>
  <si>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</si>
  <si>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Credit Note</t>
  </si>
  <si>
    <t>CN/02/2025   -26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</si>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</sst>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topLeftCell="B1" workbookViewId="0">
      <pane ySplit="4" topLeftCell="A5" activePane="bottomLeft" state="frozen"/>
      <selection pane="bottomLeft" activeCell="M23" sqref="M23"/>
    </sheetView>
  </sheetViews>
  <sheetFormatPr defaultRowHeight="15" x14ac:dyDescent="0.25"/>
  <cols>
    <col min="1" max="1" width="36.28515625" customWidth="1"/>
    <col min="2" max="2" width="30.7109375" customWidth="1"/>
    <col min="3" max="3" width="17.7109375" customWidth="1"/>
    <col min="4" max="4" width="12.85546875" style="2" customWidth="1"/>
    <col min="5" max="5" width="18.5703125" style="3" customWidth="1"/>
    <col min="6" max="6" width="15.28515625" customWidth="1"/>
    <col min="7" max="7" width="15.28515625" style="1" customWidth="1"/>
    <col min="8" max="8" width="23.42578125" style="3" customWidth="1"/>
    <col min="9" max="9" width="12.7109375" customWidth="1"/>
    <col min="10" max="10" width="18.7109375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1</v>
      </c>
    </row>
    <row r="2" spans="1:13" x14ac:dyDescent="0.25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 x14ac:dyDescent="0.25">
      <c r="A3">
        <v>9</v>
      </c>
      <c r="C3">
        <v>19</v>
      </c>
      <c r="E3" s="3">
        <f>SUM(E5:E23)</f>
        <v>4997667</v>
      </c>
      <c r="L3" s="3">
        <f>SUM(L5:L23)</f>
        <v>4235311.5</v>
      </c>
      <c r="M3" s="3">
        <f>SUM(M5:M23)</f>
        <v>0</v>
      </c>
    </row>
    <row r="4" spans="1:13" x14ac:dyDescent="0.25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20</v>
      </c>
      <c r="B5" t="s">
        <v>21</v>
      </c>
      <c r="C5" t="s">
        <v>22</v>
      </c>
      <c r="D5" s="2" t="s">
        <v>23</v>
      </c>
      <c r="E5" s="3">
        <v>232118</v>
      </c>
      <c r="F5" t="s">
        <v>24</v>
      </c>
      <c r="G5" s="1" t="s">
        <v>25</v>
      </c>
      <c r="I5" t="s">
        <v>26</v>
      </c>
      <c r="K5" s="3">
        <v>18</v>
      </c>
      <c r="L5" s="3">
        <v>196710</v>
      </c>
      <c r="M5" s="3">
        <v>0</v>
      </c>
    </row>
    <row r="6" spans="1:13" x14ac:dyDescent="0.25">
      <c r="A6" t="s">
        <v>27</v>
      </c>
      <c r="B6" t="s">
        <v>28</v>
      </c>
      <c r="C6" t="s">
        <v>29</v>
      </c>
      <c r="D6" s="2" t="s">
        <v>30</v>
      </c>
      <c r="E6" s="3">
        <v>140541</v>
      </c>
      <c r="F6" t="s">
        <v>24</v>
      </c>
      <c r="G6" s="1" t="s">
        <v>25</v>
      </c>
      <c r="I6" t="s">
        <v>26</v>
      </c>
      <c r="K6" s="3">
        <v>18</v>
      </c>
      <c r="L6" s="3">
        <v>119102.5</v>
      </c>
      <c r="M6" s="3">
        <v>0</v>
      </c>
    </row>
    <row r="7" spans="1:13" x14ac:dyDescent="0.25">
      <c r="A7" t="s">
        <v>31</v>
      </c>
      <c r="B7" t="s">
        <v>32</v>
      </c>
      <c r="C7" t="s">
        <v>33</v>
      </c>
      <c r="D7" s="2" t="s">
        <v>30</v>
      </c>
      <c r="E7" s="3">
        <v>237339</v>
      </c>
      <c r="F7" t="s">
        <v>24</v>
      </c>
      <c r="G7" s="1" t="s">
        <v>25</v>
      </c>
      <c r="I7" t="s">
        <v>26</v>
      </c>
      <c r="K7" s="3">
        <v>18</v>
      </c>
      <c r="L7" s="3">
        <v>201135</v>
      </c>
      <c r="M7" s="3">
        <v>0</v>
      </c>
    </row>
    <row r="8" spans="1:13" x14ac:dyDescent="0.25">
      <c r="A8" t="s">
        <v>20</v>
      </c>
      <c r="B8" t="s">
        <v>21</v>
      </c>
      <c r="C8" t="s">
        <v>34</v>
      </c>
      <c r="D8" s="2" t="s">
        <v>30</v>
      </c>
      <c r="E8" s="3">
        <v>268062</v>
      </c>
      <c r="F8" t="s">
        <v>24</v>
      </c>
      <c r="G8" s="1" t="s">
        <v>25</v>
      </c>
      <c r="I8" t="s">
        <v>26</v>
      </c>
      <c r="K8" s="3">
        <v>18</v>
      </c>
      <c r="L8" s="3">
        <v>227171</v>
      </c>
      <c r="M8" s="3">
        <v>0</v>
      </c>
    </row>
    <row r="9" spans="1:13" x14ac:dyDescent="0.25">
      <c r="A9" t="s">
        <v>20</v>
      </c>
      <c r="B9" t="s">
        <v>21</v>
      </c>
      <c r="C9" t="s">
        <v>35</v>
      </c>
      <c r="D9" s="2" t="s">
        <v>36</v>
      </c>
      <c r="E9" s="3">
        <v>300820</v>
      </c>
      <c r="F9" t="s">
        <v>24</v>
      </c>
      <c r="G9" s="1" t="s">
        <v>25</v>
      </c>
      <c r="I9" t="s">
        <v>26</v>
      </c>
      <c r="K9" s="3">
        <v>18</v>
      </c>
      <c r="L9" s="3">
        <v>254932</v>
      </c>
      <c r="M9" s="3">
        <v>0</v>
      </c>
    </row>
    <row r="10" spans="1:13" x14ac:dyDescent="0.25">
      <c r="A10" t="s">
        <v>37</v>
      </c>
      <c r="B10" t="s">
        <v>38</v>
      </c>
      <c r="C10" t="s">
        <v>39</v>
      </c>
      <c r="D10" s="2" t="s">
        <v>40</v>
      </c>
      <c r="E10" s="3">
        <v>208954</v>
      </c>
      <c r="F10" t="s">
        <v>24</v>
      </c>
      <c r="G10" s="1" t="s">
        <v>25</v>
      </c>
      <c r="I10" t="s">
        <v>26</v>
      </c>
      <c r="K10" s="3">
        <v>18</v>
      </c>
      <c r="L10" s="3">
        <v>177080</v>
      </c>
      <c r="M10" s="3">
        <v>0</v>
      </c>
    </row>
    <row r="11" spans="1:13" x14ac:dyDescent="0.25">
      <c r="A11" t="s">
        <v>41</v>
      </c>
      <c r="B11" t="s">
        <v>42</v>
      </c>
      <c r="C11" t="s">
        <v>43</v>
      </c>
      <c r="D11" s="2" t="s">
        <v>40</v>
      </c>
      <c r="E11" s="3">
        <v>150751</v>
      </c>
      <c r="F11" t="s">
        <v>24</v>
      </c>
      <c r="G11" s="1" t="s">
        <v>25</v>
      </c>
      <c r="I11" t="s">
        <v>26</v>
      </c>
      <c r="K11" s="3">
        <v>18</v>
      </c>
      <c r="L11" s="3">
        <v>127755</v>
      </c>
      <c r="M11" s="3">
        <v>0</v>
      </c>
    </row>
    <row r="12" spans="1:13" x14ac:dyDescent="0.25">
      <c r="A12" t="s">
        <v>44</v>
      </c>
      <c r="B12" t="s">
        <v>45</v>
      </c>
      <c r="C12" t="s">
        <v>46</v>
      </c>
      <c r="D12" s="2" t="s">
        <v>40</v>
      </c>
      <c r="E12" s="3">
        <v>341610</v>
      </c>
      <c r="F12" t="s">
        <v>24</v>
      </c>
      <c r="G12" s="1" t="s">
        <v>25</v>
      </c>
      <c r="I12" t="s">
        <v>26</v>
      </c>
      <c r="K12" s="3">
        <v>18</v>
      </c>
      <c r="L12" s="3">
        <v>289500</v>
      </c>
      <c r="M12" s="3">
        <v>0</v>
      </c>
    </row>
    <row r="13" spans="1:13" x14ac:dyDescent="0.25">
      <c r="A13" t="s">
        <v>31</v>
      </c>
      <c r="B13" t="s">
        <v>32</v>
      </c>
      <c r="C13" t="s">
        <v>47</v>
      </c>
      <c r="D13" s="2" t="s">
        <v>48</v>
      </c>
      <c r="E13" s="3">
        <v>215763</v>
      </c>
      <c r="F13" t="s">
        <v>24</v>
      </c>
      <c r="G13" s="1" t="s">
        <v>25</v>
      </c>
      <c r="I13" t="s">
        <v>26</v>
      </c>
      <c r="K13" s="3">
        <v>18</v>
      </c>
      <c r="L13" s="3">
        <v>182850</v>
      </c>
      <c r="M13" s="3">
        <v>0</v>
      </c>
    </row>
    <row r="14" spans="1:13" x14ac:dyDescent="0.25">
      <c r="A14" t="s">
        <v>31</v>
      </c>
      <c r="B14" t="s">
        <v>32</v>
      </c>
      <c r="C14" t="s">
        <v>49</v>
      </c>
      <c r="D14" s="2" t="s">
        <v>50</v>
      </c>
      <c r="E14" s="3">
        <v>252954</v>
      </c>
      <c r="F14" t="s">
        <v>24</v>
      </c>
      <c r="G14" s="1" t="s">
        <v>25</v>
      </c>
      <c r="I14" t="s">
        <v>26</v>
      </c>
      <c r="K14" s="3">
        <v>18</v>
      </c>
      <c r="L14" s="3">
        <v>214368</v>
      </c>
      <c r="M14" s="3">
        <v>0</v>
      </c>
    </row>
    <row r="15" spans="1:13" x14ac:dyDescent="0.25">
      <c r="A15" t="s">
        <v>44</v>
      </c>
      <c r="B15" t="s">
        <v>45</v>
      </c>
      <c r="C15" t="s">
        <v>51</v>
      </c>
      <c r="D15" s="2" t="s">
        <v>50</v>
      </c>
      <c r="E15" s="3">
        <v>347805</v>
      </c>
      <c r="F15" t="s">
        <v>24</v>
      </c>
      <c r="G15" s="1" t="s">
        <v>25</v>
      </c>
      <c r="I15" t="s">
        <v>26</v>
      </c>
      <c r="K15" s="3">
        <v>18</v>
      </c>
      <c r="L15" s="3">
        <v>294750</v>
      </c>
      <c r="M15" s="3">
        <v>0</v>
      </c>
    </row>
    <row r="16" spans="1:13" x14ac:dyDescent="0.25">
      <c r="A16" t="s">
        <v>44</v>
      </c>
      <c r="B16" t="s">
        <v>45</v>
      </c>
      <c r="C16" t="s">
        <v>52</v>
      </c>
      <c r="D16" s="2" t="s">
        <v>53</v>
      </c>
      <c r="E16" s="3">
        <v>373028</v>
      </c>
      <c r="F16" t="s">
        <v>24</v>
      </c>
      <c r="G16" s="1" t="s">
        <v>25</v>
      </c>
      <c r="I16" t="s">
        <v>26</v>
      </c>
      <c r="K16" s="3">
        <v>18</v>
      </c>
      <c r="L16" s="3">
        <v>316125</v>
      </c>
      <c r="M16" s="3">
        <v>0</v>
      </c>
    </row>
    <row r="17" spans="1:13" x14ac:dyDescent="0.25">
      <c r="A17" t="s">
        <v>31</v>
      </c>
      <c r="B17" t="s">
        <v>32</v>
      </c>
      <c r="C17" t="s">
        <v>54</v>
      </c>
      <c r="D17" s="2" t="s">
        <v>55</v>
      </c>
      <c r="E17" s="3">
        <v>278345</v>
      </c>
      <c r="F17" t="s">
        <v>24</v>
      </c>
      <c r="G17" s="1" t="s">
        <v>25</v>
      </c>
      <c r="I17" t="s">
        <v>26</v>
      </c>
      <c r="K17" s="3">
        <v>18</v>
      </c>
      <c r="L17" s="3">
        <v>235886</v>
      </c>
      <c r="M17" s="3">
        <v>0</v>
      </c>
    </row>
    <row r="18" spans="1:13" x14ac:dyDescent="0.25">
      <c r="A18" t="s">
        <v>56</v>
      </c>
      <c r="B18" t="s">
        <v>57</v>
      </c>
      <c r="C18" t="s">
        <v>58</v>
      </c>
      <c r="D18" s="2" t="s">
        <v>59</v>
      </c>
      <c r="E18" s="3">
        <v>209303</v>
      </c>
      <c r="F18" t="s">
        <v>24</v>
      </c>
      <c r="G18" s="1" t="s">
        <v>25</v>
      </c>
      <c r="I18" t="s">
        <v>26</v>
      </c>
      <c r="K18" s="3">
        <v>18</v>
      </c>
      <c r="L18" s="3">
        <v>177375</v>
      </c>
      <c r="M18" s="3">
        <v>0</v>
      </c>
    </row>
    <row r="19" spans="1:13" x14ac:dyDescent="0.25">
      <c r="A19" t="s">
        <v>31</v>
      </c>
      <c r="B19" t="s">
        <v>32</v>
      </c>
      <c r="C19" t="s">
        <v>60</v>
      </c>
      <c r="D19" s="2" t="s">
        <v>61</v>
      </c>
      <c r="E19" s="3">
        <v>270201</v>
      </c>
      <c r="F19" t="s">
        <v>24</v>
      </c>
      <c r="G19" s="1" t="s">
        <v>25</v>
      </c>
      <c r="I19" t="s">
        <v>26</v>
      </c>
      <c r="K19" s="3">
        <v>18</v>
      </c>
      <c r="L19" s="3">
        <v>228984</v>
      </c>
      <c r="M19" s="3">
        <v>0</v>
      </c>
    </row>
    <row r="20" spans="1:13" x14ac:dyDescent="0.25">
      <c r="A20" t="s">
        <v>31</v>
      </c>
      <c r="B20" t="s">
        <v>32</v>
      </c>
      <c r="C20" t="s">
        <v>62</v>
      </c>
      <c r="D20" s="2" t="s">
        <v>61</v>
      </c>
      <c r="E20" s="3">
        <v>264931</v>
      </c>
      <c r="F20" t="s">
        <v>24</v>
      </c>
      <c r="G20" s="1" t="s">
        <v>25</v>
      </c>
      <c r="I20" t="s">
        <v>26</v>
      </c>
      <c r="K20" s="3">
        <v>18</v>
      </c>
      <c r="L20" s="3">
        <v>224518</v>
      </c>
      <c r="M20" s="3">
        <v>0</v>
      </c>
    </row>
    <row r="21" spans="1:13" x14ac:dyDescent="0.25">
      <c r="A21" t="s">
        <v>63</v>
      </c>
      <c r="B21" t="s">
        <v>64</v>
      </c>
      <c r="C21" t="s">
        <v>65</v>
      </c>
      <c r="D21" s="2" t="s">
        <v>66</v>
      </c>
      <c r="E21" s="3">
        <v>207833</v>
      </c>
      <c r="F21" t="s">
        <v>24</v>
      </c>
      <c r="G21" s="1" t="s">
        <v>25</v>
      </c>
      <c r="I21" t="s">
        <v>26</v>
      </c>
      <c r="K21" s="3">
        <v>18</v>
      </c>
      <c r="L21" s="3">
        <v>176130</v>
      </c>
      <c r="M21" s="3">
        <v>0</v>
      </c>
    </row>
    <row r="22" spans="1:13" x14ac:dyDescent="0.25">
      <c r="A22" t="s">
        <v>56</v>
      </c>
      <c r="B22" t="s">
        <v>57</v>
      </c>
      <c r="C22" t="s">
        <v>67</v>
      </c>
      <c r="D22" s="2" t="s">
        <v>66</v>
      </c>
      <c r="E22" s="3">
        <v>350672</v>
      </c>
      <c r="F22" t="s">
        <v>24</v>
      </c>
      <c r="G22" s="1" t="s">
        <v>25</v>
      </c>
      <c r="I22" t="s">
        <v>26</v>
      </c>
      <c r="K22" s="3">
        <v>18</v>
      </c>
      <c r="L22" s="3">
        <v>297180</v>
      </c>
      <c r="M22" s="3">
        <v>0</v>
      </c>
    </row>
    <row r="23" spans="1:13" x14ac:dyDescent="0.25">
      <c r="A23" t="s">
        <v>68</v>
      </c>
      <c r="B23" t="s">
        <v>69</v>
      </c>
      <c r="C23" t="s">
        <v>70</v>
      </c>
      <c r="D23" s="2" t="s">
        <v>71</v>
      </c>
      <c r="E23" s="3">
        <v>346637</v>
      </c>
      <c r="F23" t="s">
        <v>24</v>
      </c>
      <c r="G23" s="1" t="s">
        <v>25</v>
      </c>
      <c r="I23" t="s">
        <v>26</v>
      </c>
      <c r="K23" s="3">
        <v>18</v>
      </c>
      <c r="L23" s="3">
        <v>293760</v>
      </c>
      <c r="M23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3.28515625" customWidth="1"/>
    <col min="4" max="4" width="20" style="2" customWidth="1"/>
    <col min="5" max="5" width="23.140625" customWidth="1"/>
    <col min="6" max="6" width="19.85546875" style="2" customWidth="1"/>
    <col min="7" max="7" width="18.5703125" style="3" customWidth="1"/>
    <col min="8" max="8" width="15.28515625" customWidth="1"/>
    <col min="9" max="9" width="15.28515625" style="1" customWidth="1"/>
    <col min="10" max="10" width="23.42578125" style="3" customWidth="1"/>
    <col min="11" max="11" width="12.7109375" customWidth="1"/>
    <col min="12" max="12" width="18.7109375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72</v>
      </c>
      <c r="B1" s="15" t="s">
        <v>73</v>
      </c>
      <c r="C1" s="15"/>
      <c r="D1" s="16"/>
      <c r="E1" s="17" t="s">
        <v>74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 x14ac:dyDescent="0.2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75</v>
      </c>
      <c r="D4" s="9" t="s">
        <v>76</v>
      </c>
      <c r="E4" s="12" t="s">
        <v>77</v>
      </c>
      <c r="F4" s="13" t="s">
        <v>78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2.42578125" style="2" customWidth="1"/>
    <col min="3" max="3" width="18.5703125" style="3" customWidth="1"/>
    <col min="4" max="4" width="15.28515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  <col min="10" max="10" width="21.140625" customWidth="1"/>
  </cols>
  <sheetData>
    <row r="1" spans="1:10" x14ac:dyDescent="0.25">
      <c r="A1" s="4" t="s">
        <v>79</v>
      </c>
    </row>
    <row r="2" spans="1:10" x14ac:dyDescent="0.25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 x14ac:dyDescent="0.25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3.28515625" customWidth="1"/>
    <col min="2" max="2" width="20" style="2" customWidth="1"/>
    <col min="3" max="3" width="22.85546875" customWidth="1"/>
    <col min="4" max="4" width="23.140625" customWidth="1"/>
    <col min="5" max="5" width="19.85546875" style="2" customWidth="1"/>
    <col min="6" max="6" width="18.5703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  <col min="11" max="11" width="18.7109375" customWidth="1"/>
    <col min="12" max="12" width="21.140625" customWidth="1"/>
  </cols>
  <sheetData>
    <row r="1" spans="1:12" x14ac:dyDescent="0.25">
      <c r="A1" s="4" t="s">
        <v>81</v>
      </c>
      <c r="B1" s="16" t="s">
        <v>73</v>
      </c>
      <c r="C1" s="15"/>
      <c r="D1" s="17" t="s">
        <v>74</v>
      </c>
      <c r="E1" s="18"/>
      <c r="F1" s="19"/>
      <c r="G1" s="19"/>
      <c r="H1" s="19"/>
      <c r="I1" s="19"/>
      <c r="J1" s="19"/>
      <c r="K1" s="17"/>
      <c r="L1" s="17"/>
    </row>
    <row r="2" spans="1:12" x14ac:dyDescent="0.25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 x14ac:dyDescent="0.25">
      <c r="A4" s="8" t="s">
        <v>75</v>
      </c>
      <c r="B4" s="9" t="s">
        <v>76</v>
      </c>
      <c r="C4" s="8" t="s">
        <v>82</v>
      </c>
      <c r="D4" s="12" t="s">
        <v>77</v>
      </c>
      <c r="E4" s="13" t="s">
        <v>78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80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5.28515625" customWidth="1"/>
    <col min="3" max="3" width="23.42578125" style="3" customWidth="1"/>
    <col min="4" max="4" width="9.140625" style="3" customWidth="1"/>
    <col min="5" max="5" width="19" style="3" customWidth="1"/>
    <col min="6" max="6" width="13.140625" style="3" customWidth="1"/>
    <col min="7" max="7" width="18.7109375" customWidth="1"/>
  </cols>
  <sheetData>
    <row r="1" spans="1:7" x14ac:dyDescent="0.25">
      <c r="A1" s="4" t="s">
        <v>83</v>
      </c>
    </row>
    <row r="2" spans="1:7" x14ac:dyDescent="0.25">
      <c r="A2" s="4"/>
      <c r="B2" s="4"/>
      <c r="C2" s="6"/>
      <c r="D2" s="6"/>
      <c r="E2" s="11" t="s">
        <v>5</v>
      </c>
      <c r="F2" s="11" t="s">
        <v>6</v>
      </c>
      <c r="G2" s="4"/>
    </row>
    <row r="4" spans="1:7" x14ac:dyDescent="0.25">
      <c r="A4" s="8" t="s">
        <v>84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5703125" customWidth="1"/>
    <col min="2" max="2" width="15.140625" customWidth="1"/>
    <col min="3" max="3" width="15.28515625" customWidth="1"/>
    <col min="4" max="4" width="9.140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</cols>
  <sheetData>
    <row r="1" spans="1:9" x14ac:dyDescent="0.25">
      <c r="A1" s="4" t="s">
        <v>85</v>
      </c>
      <c r="B1" s="15" t="s">
        <v>73</v>
      </c>
      <c r="C1" s="17" t="s">
        <v>74</v>
      </c>
      <c r="D1" s="17"/>
      <c r="E1" s="19"/>
      <c r="F1" s="19"/>
      <c r="G1" s="19"/>
      <c r="H1" s="19"/>
      <c r="I1" s="17"/>
    </row>
    <row r="2" spans="1:9" x14ac:dyDescent="0.25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 x14ac:dyDescent="0.25">
      <c r="A4" s="8" t="s">
        <v>86</v>
      </c>
      <c r="B4" s="8" t="s">
        <v>87</v>
      </c>
      <c r="C4" s="12" t="s">
        <v>12</v>
      </c>
      <c r="D4" s="12" t="s">
        <v>84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pane ySplit="4" topLeftCell="A5" activePane="bottomLeft" state="frozen"/>
      <selection pane="bottomLeft" sqref="A1:XFD1048576"/>
    </sheetView>
  </sheetViews>
  <sheetFormatPr defaultRowHeight="15" x14ac:dyDescent="0.25"/>
  <cols>
    <col min="1" max="1" width="22.5703125" customWidth="1"/>
    <col min="2" max="2" width="23.7109375" customWidth="1"/>
    <col min="3" max="3" width="15" customWidth="1"/>
    <col min="4" max="4" width="12.85546875" style="2" customWidth="1"/>
    <col min="5" max="5" width="10.7109375" style="1" customWidth="1"/>
    <col min="6" max="6" width="15.28515625" customWidth="1"/>
    <col min="7" max="7" width="15.28515625" style="1" customWidth="1"/>
    <col min="8" max="8" width="17.140625" customWidth="1"/>
    <col min="9" max="9" width="16.42578125" style="3" customWidth="1"/>
    <col min="10" max="10" width="23.42578125" style="3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88</v>
      </c>
    </row>
    <row r="2" spans="1:13" x14ac:dyDescent="0.25">
      <c r="A2" s="7" t="s">
        <v>89</v>
      </c>
      <c r="B2" s="4"/>
      <c r="C2" s="7" t="s">
        <v>90</v>
      </c>
      <c r="D2" s="5"/>
      <c r="E2" s="7"/>
      <c r="F2" s="4"/>
      <c r="G2" s="7"/>
      <c r="H2" s="4"/>
      <c r="I2" s="11" t="s">
        <v>91</v>
      </c>
      <c r="J2" s="6"/>
      <c r="K2" s="6"/>
      <c r="L2" s="11" t="s">
        <v>5</v>
      </c>
      <c r="M2" s="11" t="s">
        <v>6</v>
      </c>
    </row>
    <row r="3" spans="1:13" x14ac:dyDescent="0.25">
      <c r="A3">
        <v>1</v>
      </c>
      <c r="C3">
        <v>1</v>
      </c>
      <c r="I3" s="3">
        <f>SUM(I5:I5)</f>
        <v>2307</v>
      </c>
      <c r="L3" s="3">
        <f>SUM(L5:L5)</f>
        <v>1955</v>
      </c>
      <c r="M3" s="3">
        <f>SUM(M5:M5)</f>
        <v>0</v>
      </c>
    </row>
    <row r="4" spans="1:13" x14ac:dyDescent="0.25">
      <c r="A4" s="8" t="s">
        <v>7</v>
      </c>
      <c r="B4" s="8" t="s">
        <v>8</v>
      </c>
      <c r="C4" s="8" t="s">
        <v>92</v>
      </c>
      <c r="D4" s="9" t="s">
        <v>93</v>
      </c>
      <c r="E4" s="8" t="s">
        <v>94</v>
      </c>
      <c r="F4" s="8" t="s">
        <v>12</v>
      </c>
      <c r="G4" s="8" t="s">
        <v>13</v>
      </c>
      <c r="H4" s="8" t="s">
        <v>95</v>
      </c>
      <c r="I4" s="10" t="s">
        <v>96</v>
      </c>
      <c r="J4" s="10" t="s">
        <v>14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20</v>
      </c>
      <c r="B5" t="s">
        <v>97</v>
      </c>
      <c r="C5" t="s">
        <v>98</v>
      </c>
      <c r="D5" s="2" t="s">
        <v>99</v>
      </c>
      <c r="E5" s="1" t="s">
        <v>100</v>
      </c>
      <c r="F5" t="s">
        <v>24</v>
      </c>
      <c r="G5" s="1" t="s">
        <v>25</v>
      </c>
      <c r="H5" t="s">
        <v>26</v>
      </c>
      <c r="I5" s="3">
        <v>2307</v>
      </c>
      <c r="K5" s="3">
        <v>18</v>
      </c>
      <c r="L5" s="3">
        <v>1955</v>
      </c>
      <c r="M5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2" customWidth="1"/>
    <col min="4" max="4" width="18.140625" style="2" customWidth="1"/>
    <col min="5" max="5" width="21.140625" customWidth="1"/>
    <col min="6" max="6" width="18" style="2" customWidth="1"/>
    <col min="7" max="7" width="10.7109375" style="1" customWidth="1"/>
    <col min="8" max="8" width="15.28515625" customWidth="1"/>
    <col min="9" max="9" width="15.28515625" style="1" customWidth="1"/>
    <col min="10" max="10" width="17.140625" customWidth="1"/>
    <col min="11" max="11" width="16.42578125" style="3" customWidth="1"/>
    <col min="12" max="12" width="23.42578125" style="3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101</v>
      </c>
      <c r="B1" s="15" t="s">
        <v>73</v>
      </c>
      <c r="C1" s="15"/>
      <c r="D1" s="16"/>
      <c r="E1" s="15"/>
      <c r="F1" s="16"/>
      <c r="G1" s="17" t="s">
        <v>74</v>
      </c>
      <c r="H1" s="17"/>
      <c r="I1" s="17"/>
      <c r="J1" s="17"/>
      <c r="K1" s="19"/>
      <c r="L1" s="19"/>
      <c r="M1" s="19"/>
      <c r="N1" s="19"/>
      <c r="O1" s="19"/>
    </row>
    <row r="2" spans="1:15" x14ac:dyDescent="0.25">
      <c r="A2" s="7" t="s">
        <v>89</v>
      </c>
      <c r="B2" s="4"/>
      <c r="C2" s="7" t="s">
        <v>102</v>
      </c>
      <c r="D2" s="5"/>
      <c r="E2" s="4"/>
      <c r="F2" s="5"/>
      <c r="G2" s="7"/>
      <c r="H2" s="4"/>
      <c r="I2" s="7"/>
      <c r="J2" s="4"/>
      <c r="K2" s="11" t="s">
        <v>91</v>
      </c>
      <c r="L2" s="6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103</v>
      </c>
      <c r="D4" s="9" t="s">
        <v>104</v>
      </c>
      <c r="E4" s="8" t="s">
        <v>105</v>
      </c>
      <c r="F4" s="9" t="s">
        <v>106</v>
      </c>
      <c r="G4" s="12" t="s">
        <v>94</v>
      </c>
      <c r="H4" s="12" t="s">
        <v>12</v>
      </c>
      <c r="I4" s="12" t="s">
        <v>13</v>
      </c>
      <c r="J4" s="12" t="s">
        <v>95</v>
      </c>
      <c r="K4" s="14" t="s">
        <v>96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0.5703125" style="2" customWidth="1"/>
    <col min="4" max="4" width="10.7109375" style="1" customWidth="1"/>
    <col min="5" max="5" width="15.28515625" customWidth="1"/>
    <col min="6" max="6" width="16.42578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107</v>
      </c>
    </row>
    <row r="2" spans="1:10" x14ac:dyDescent="0.25">
      <c r="A2" s="4"/>
      <c r="B2" s="7" t="s">
        <v>102</v>
      </c>
      <c r="C2" s="5"/>
      <c r="D2" s="7"/>
      <c r="E2" s="4"/>
      <c r="F2" s="11" t="s">
        <v>91</v>
      </c>
      <c r="G2" s="6"/>
      <c r="H2" s="6"/>
      <c r="I2" s="11" t="s">
        <v>5</v>
      </c>
      <c r="J2" s="11" t="s">
        <v>6</v>
      </c>
    </row>
    <row r="4" spans="1:10" x14ac:dyDescent="0.25">
      <c r="A4" s="8" t="s">
        <v>108</v>
      </c>
      <c r="B4" s="8" t="s">
        <v>92</v>
      </c>
      <c r="C4" s="9" t="s">
        <v>93</v>
      </c>
      <c r="D4" s="8" t="s">
        <v>94</v>
      </c>
      <c r="E4" s="8" t="s">
        <v>12</v>
      </c>
      <c r="F4" s="10" t="s">
        <v>96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7109375" customWidth="1"/>
    <col min="2" max="2" width="22" customWidth="1"/>
    <col min="3" max="3" width="18.140625" style="2" customWidth="1"/>
    <col min="4" max="4" width="21.140625" customWidth="1"/>
    <col min="5" max="5" width="18" style="2" customWidth="1"/>
    <col min="6" max="6" width="10.7109375" style="1" customWidth="1"/>
    <col min="7" max="7" width="15.28515625" customWidth="1"/>
    <col min="8" max="8" width="16.42578125" style="3" customWidth="1"/>
    <col min="9" max="9" width="23.42578125" style="3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109</v>
      </c>
      <c r="B1" s="15" t="s">
        <v>73</v>
      </c>
      <c r="C1" s="16"/>
      <c r="D1" s="15"/>
      <c r="E1" s="16"/>
      <c r="F1" s="17" t="s">
        <v>74</v>
      </c>
      <c r="G1" s="17"/>
      <c r="H1" s="19"/>
      <c r="I1" s="19"/>
      <c r="J1" s="19"/>
      <c r="K1" s="19"/>
      <c r="L1" s="19"/>
    </row>
    <row r="2" spans="1:12" x14ac:dyDescent="0.25">
      <c r="A2" s="4"/>
      <c r="B2" s="7" t="s">
        <v>102</v>
      </c>
      <c r="C2" s="5"/>
      <c r="D2" s="4"/>
      <c r="E2" s="5"/>
      <c r="F2" s="7"/>
      <c r="G2" s="4"/>
      <c r="H2" s="11" t="s">
        <v>91</v>
      </c>
      <c r="I2" s="6"/>
      <c r="J2" s="6"/>
      <c r="K2" s="11" t="s">
        <v>5</v>
      </c>
      <c r="L2" s="11" t="s">
        <v>6</v>
      </c>
    </row>
    <row r="4" spans="1:12" x14ac:dyDescent="0.25">
      <c r="A4" s="8" t="s">
        <v>108</v>
      </c>
      <c r="B4" s="8" t="s">
        <v>103</v>
      </c>
      <c r="C4" s="9" t="s">
        <v>104</v>
      </c>
      <c r="D4" s="8" t="s">
        <v>105</v>
      </c>
      <c r="E4" s="9" t="s">
        <v>106</v>
      </c>
      <c r="F4" s="12" t="s">
        <v>94</v>
      </c>
      <c r="G4" s="12" t="s">
        <v>12</v>
      </c>
      <c r="H4" s="14" t="s">
        <v>96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7109375" customWidth="1"/>
    <col min="2" max="2" width="15.7109375" customWidth="1"/>
    <col min="3" max="3" width="12.42578125" style="2" customWidth="1"/>
    <col min="4" max="4" width="18.5703125" style="3" customWidth="1"/>
    <col min="5" max="5" width="10.28515625" customWidth="1"/>
    <col min="6" max="6" width="20.28515625" customWidth="1"/>
    <col min="7" max="7" width="17.140625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110</v>
      </c>
    </row>
    <row r="2" spans="1:10" x14ac:dyDescent="0.25">
      <c r="A2" s="4"/>
      <c r="B2" s="7" t="s">
        <v>3</v>
      </c>
      <c r="C2" s="5"/>
      <c r="D2" s="11" t="s">
        <v>4</v>
      </c>
      <c r="E2" s="4"/>
      <c r="F2" s="7" t="s">
        <v>111</v>
      </c>
      <c r="G2" s="4"/>
      <c r="H2" s="6"/>
      <c r="I2" s="11" t="s">
        <v>5</v>
      </c>
      <c r="J2" s="11" t="s">
        <v>6</v>
      </c>
    </row>
    <row r="4" spans="1:10" x14ac:dyDescent="0.25">
      <c r="A4" s="8" t="s">
        <v>112</v>
      </c>
      <c r="B4" s="8" t="s">
        <v>9</v>
      </c>
      <c r="C4" s="9" t="s">
        <v>10</v>
      </c>
      <c r="D4" s="10" t="s">
        <v>11</v>
      </c>
      <c r="E4" s="8" t="s">
        <v>113</v>
      </c>
      <c r="F4" s="8" t="s">
        <v>114</v>
      </c>
      <c r="G4" s="8" t="s">
        <v>115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.5703125" customWidth="1"/>
    <col min="2" max="2" width="23.28515625" customWidth="1"/>
    <col min="3" max="3" width="20" style="2" customWidth="1"/>
    <col min="4" max="4" width="23.140625" customWidth="1"/>
    <col min="5" max="5" width="19.85546875" style="2" customWidth="1"/>
    <col min="6" max="6" width="18.5703125" style="3" customWidth="1"/>
    <col min="7" max="7" width="10.28515625" customWidth="1"/>
    <col min="8" max="8" width="20.28515625" customWidth="1"/>
    <col min="9" max="9" width="17.140625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116</v>
      </c>
      <c r="B1" s="15" t="s">
        <v>73</v>
      </c>
      <c r="C1" s="16"/>
      <c r="D1" s="17" t="s">
        <v>74</v>
      </c>
      <c r="E1" s="18"/>
      <c r="F1" s="19"/>
      <c r="G1" s="17"/>
      <c r="H1" s="17"/>
      <c r="I1" s="17"/>
      <c r="J1" s="19"/>
      <c r="K1" s="19"/>
      <c r="L1" s="19"/>
    </row>
    <row r="2" spans="1:12" x14ac:dyDescent="0.25">
      <c r="A2" s="4"/>
      <c r="B2" s="7" t="s">
        <v>3</v>
      </c>
      <c r="C2" s="5"/>
      <c r="D2" s="4"/>
      <c r="E2" s="5"/>
      <c r="F2" s="11" t="s">
        <v>4</v>
      </c>
      <c r="G2" s="4"/>
      <c r="H2" s="7" t="s">
        <v>111</v>
      </c>
      <c r="I2" s="4"/>
      <c r="J2" s="6"/>
      <c r="K2" s="11" t="s">
        <v>5</v>
      </c>
      <c r="L2" s="11" t="s">
        <v>6</v>
      </c>
    </row>
    <row r="4" spans="1:12" x14ac:dyDescent="0.25">
      <c r="A4" s="8" t="s">
        <v>112</v>
      </c>
      <c r="B4" s="8" t="s">
        <v>75</v>
      </c>
      <c r="C4" s="9" t="s">
        <v>76</v>
      </c>
      <c r="D4" s="12" t="s">
        <v>77</v>
      </c>
      <c r="E4" s="13" t="s">
        <v>78</v>
      </c>
      <c r="F4" s="14" t="s">
        <v>11</v>
      </c>
      <c r="G4" s="12" t="s">
        <v>113</v>
      </c>
      <c r="H4" s="12" t="s">
        <v>114</v>
      </c>
      <c r="I4" s="12" t="s">
        <v>115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117</v>
      </c>
    </row>
    <row r="2" spans="1:5" x14ac:dyDescent="0.25">
      <c r="A2" s="4"/>
      <c r="B2" s="6"/>
      <c r="C2" s="6"/>
      <c r="D2" s="11" t="s">
        <v>118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119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1.2851562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120</v>
      </c>
      <c r="B1" s="15" t="s">
        <v>73</v>
      </c>
      <c r="C1" s="15"/>
      <c r="D1" s="19" t="s">
        <v>74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118</v>
      </c>
      <c r="G2" s="11" t="s">
        <v>6</v>
      </c>
    </row>
    <row r="4" spans="1:7" x14ac:dyDescent="0.25">
      <c r="A4" s="8" t="s">
        <v>86</v>
      </c>
      <c r="B4" s="8" t="s">
        <v>87</v>
      </c>
      <c r="C4" s="8" t="s">
        <v>82</v>
      </c>
      <c r="D4" s="14" t="s">
        <v>14</v>
      </c>
      <c r="E4" s="14" t="s">
        <v>17</v>
      </c>
      <c r="F4" s="14" t="s">
        <v>119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121</v>
      </c>
    </row>
    <row r="2" spans="1:5" x14ac:dyDescent="0.25">
      <c r="A2" s="4"/>
      <c r="B2" s="6"/>
      <c r="C2" s="6"/>
      <c r="D2" s="11" t="s">
        <v>122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123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8.8554687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124</v>
      </c>
      <c r="B1" s="15" t="s">
        <v>73</v>
      </c>
      <c r="C1" s="15"/>
      <c r="D1" s="19" t="s">
        <v>74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122</v>
      </c>
      <c r="G2" s="11" t="s">
        <v>6</v>
      </c>
    </row>
    <row r="4" spans="1:7" x14ac:dyDescent="0.25">
      <c r="A4" s="8" t="s">
        <v>86</v>
      </c>
      <c r="B4" s="8" t="s">
        <v>87</v>
      </c>
      <c r="C4" s="8" t="s">
        <v>82</v>
      </c>
      <c r="D4" s="14" t="s">
        <v>14</v>
      </c>
      <c r="E4" s="14" t="s">
        <v>17</v>
      </c>
      <c r="F4" s="14" t="s">
        <v>123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2.42578125" customWidth="1"/>
    <col min="2" max="2" width="22.7109375" style="3" customWidth="1"/>
    <col min="3" max="3" width="44.140625" style="3" customWidth="1"/>
    <col min="4" max="4" width="22.28515625" style="3" customWidth="1"/>
  </cols>
  <sheetData>
    <row r="1" spans="1:4" x14ac:dyDescent="0.25">
      <c r="A1" s="4" t="s">
        <v>125</v>
      </c>
    </row>
    <row r="2" spans="1:4" x14ac:dyDescent="0.25">
      <c r="A2" s="4"/>
      <c r="B2" s="11" t="s">
        <v>126</v>
      </c>
      <c r="C2" s="11" t="s">
        <v>127</v>
      </c>
      <c r="D2" s="11" t="s">
        <v>128</v>
      </c>
    </row>
    <row r="4" spans="1:4" x14ac:dyDescent="0.25">
      <c r="A4" s="8" t="s">
        <v>129</v>
      </c>
      <c r="B4" s="10" t="s">
        <v>130</v>
      </c>
      <c r="C4" s="10" t="s">
        <v>131</v>
      </c>
      <c r="D4" s="10" t="s">
        <v>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"/>
  <sheetViews>
    <sheetView workbookViewId="0">
      <pane ySplit="4" topLeftCell="A5" activePane="bottomLeft" state="frozen"/>
      <selection pane="bottomLeft" sqref="A1:XFD1048576"/>
    </sheetView>
  </sheetViews>
  <sheetFormatPr defaultRowHeight="15" x14ac:dyDescent="0.25"/>
  <cols>
    <col min="1" max="1" width="21.140625" customWidth="1"/>
    <col min="2" max="2" width="25.7109375" customWidth="1"/>
    <col min="3" max="3" width="16.140625" customWidth="1"/>
    <col min="4" max="4" width="14.42578125" customWidth="1"/>
    <col min="5" max="5" width="11.8554687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133</v>
      </c>
    </row>
    <row r="2" spans="1:11" x14ac:dyDescent="0.25">
      <c r="A2" s="7" t="s">
        <v>134</v>
      </c>
      <c r="B2" s="4"/>
      <c r="C2" s="4"/>
      <c r="D2" s="4"/>
      <c r="E2" s="11" t="s">
        <v>135</v>
      </c>
      <c r="F2" s="6"/>
      <c r="G2" s="11" t="s">
        <v>5</v>
      </c>
      <c r="H2" s="11" t="s">
        <v>136</v>
      </c>
      <c r="I2" s="11" t="s">
        <v>137</v>
      </c>
      <c r="J2" s="11" t="s">
        <v>138</v>
      </c>
      <c r="K2" s="11" t="s">
        <v>6</v>
      </c>
    </row>
    <row r="3" spans="1:11" x14ac:dyDescent="0.25">
      <c r="A3">
        <v>2</v>
      </c>
      <c r="E3" s="3">
        <f>SUM(E5:E6)</f>
        <v>4995360.68</v>
      </c>
      <c r="G3" s="3">
        <f>SUM(G5:G6)</f>
        <v>4233356.5</v>
      </c>
      <c r="H3" s="3">
        <f>SUM(H5:H6)</f>
        <v>0</v>
      </c>
      <c r="I3" s="3">
        <f>SUM(I5:I6)</f>
        <v>381002.08999999997</v>
      </c>
      <c r="J3" s="3">
        <f>SUM(J5:J6)</f>
        <v>381002.08999999997</v>
      </c>
      <c r="K3" s="3">
        <f>SUM(K5:K6)</f>
        <v>0</v>
      </c>
    </row>
    <row r="4" spans="1:11" x14ac:dyDescent="0.25">
      <c r="A4" s="8" t="s">
        <v>139</v>
      </c>
      <c r="B4" s="8" t="s">
        <v>129</v>
      </c>
      <c r="C4" s="8" t="s">
        <v>140</v>
      </c>
      <c r="D4" s="8" t="s">
        <v>141</v>
      </c>
      <c r="E4" s="10" t="s">
        <v>135</v>
      </c>
      <c r="F4" s="10" t="s">
        <v>17</v>
      </c>
      <c r="G4" s="10" t="s">
        <v>18</v>
      </c>
      <c r="H4" s="10" t="s">
        <v>142</v>
      </c>
      <c r="I4" s="10" t="s">
        <v>143</v>
      </c>
      <c r="J4" s="10" t="s">
        <v>144</v>
      </c>
      <c r="K4" s="10" t="s">
        <v>19</v>
      </c>
    </row>
    <row r="5" spans="1:11" x14ac:dyDescent="0.25">
      <c r="A5" t="s">
        <v>145</v>
      </c>
      <c r="B5" t="s">
        <v>146</v>
      </c>
      <c r="C5" t="s">
        <v>147</v>
      </c>
      <c r="D5">
        <v>105855</v>
      </c>
      <c r="E5" s="3">
        <v>4854819.72</v>
      </c>
      <c r="F5" s="3">
        <v>18</v>
      </c>
      <c r="G5" s="3">
        <v>4114254</v>
      </c>
      <c r="H5" s="3">
        <v>0</v>
      </c>
      <c r="I5" s="3">
        <v>370282.86</v>
      </c>
      <c r="J5" s="3">
        <v>370282.86</v>
      </c>
      <c r="K5" s="3">
        <v>0</v>
      </c>
    </row>
    <row r="6" spans="1:11" x14ac:dyDescent="0.25">
      <c r="A6" t="s">
        <v>145</v>
      </c>
      <c r="B6" t="s">
        <v>148</v>
      </c>
      <c r="C6" t="s">
        <v>149</v>
      </c>
      <c r="D6">
        <v>3050</v>
      </c>
      <c r="E6" s="3">
        <v>140540.96</v>
      </c>
      <c r="F6" s="3">
        <v>18</v>
      </c>
      <c r="G6" s="3">
        <v>119102.5</v>
      </c>
      <c r="H6" s="3">
        <v>0</v>
      </c>
      <c r="I6" s="3">
        <v>10719.23</v>
      </c>
      <c r="J6" s="3">
        <v>10719.23</v>
      </c>
      <c r="K6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140625" customWidth="1"/>
    <col min="2" max="2" width="11.7109375" customWidth="1"/>
    <col min="3" max="3" width="9.140625" customWidth="1"/>
    <col min="4" max="4" width="14.42578125" customWidth="1"/>
    <col min="5" max="5" width="11.570312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133</v>
      </c>
    </row>
    <row r="2" spans="1:11" x14ac:dyDescent="0.25">
      <c r="A2" s="7" t="s">
        <v>134</v>
      </c>
      <c r="B2" s="4"/>
      <c r="C2" s="4"/>
      <c r="D2" s="4"/>
      <c r="E2" s="11" t="s">
        <v>135</v>
      </c>
      <c r="F2" s="6"/>
      <c r="G2" s="11" t="s">
        <v>5</v>
      </c>
      <c r="H2" s="11" t="s">
        <v>136</v>
      </c>
      <c r="I2" s="11" t="s">
        <v>137</v>
      </c>
      <c r="J2" s="11" t="s">
        <v>138</v>
      </c>
      <c r="K2" s="11" t="s">
        <v>6</v>
      </c>
    </row>
    <row r="4" spans="1:11" x14ac:dyDescent="0.25">
      <c r="A4" s="8" t="s">
        <v>139</v>
      </c>
      <c r="B4" s="8" t="s">
        <v>129</v>
      </c>
      <c r="C4" s="8" t="s">
        <v>140</v>
      </c>
      <c r="D4" s="8" t="s">
        <v>141</v>
      </c>
      <c r="E4" s="10" t="s">
        <v>135</v>
      </c>
      <c r="F4" s="10" t="s">
        <v>17</v>
      </c>
      <c r="G4" s="10" t="s">
        <v>18</v>
      </c>
      <c r="H4" s="10" t="s">
        <v>142</v>
      </c>
      <c r="I4" s="10" t="s">
        <v>143</v>
      </c>
      <c r="J4" s="10" t="s">
        <v>144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tabSelected="1" workbookViewId="0">
      <pane ySplit="4" topLeftCell="A5" activePane="bottomLeft" state="frozen"/>
      <selection pane="bottomLeft" activeCell="I9" sqref="I9"/>
    </sheetView>
  </sheetViews>
  <sheetFormatPr defaultRowHeight="15" x14ac:dyDescent="0.25"/>
  <cols>
    <col min="1" max="1" width="51.85546875" customWidth="1"/>
    <col min="2" max="3" width="17.7109375" customWidth="1"/>
    <col min="4" max="4" width="13.85546875" customWidth="1"/>
    <col min="5" max="5" width="15.140625" customWidth="1"/>
  </cols>
  <sheetData>
    <row r="1" spans="1:5" x14ac:dyDescent="0.25">
      <c r="A1" s="4" t="s">
        <v>150</v>
      </c>
    </row>
    <row r="2" spans="1:5" x14ac:dyDescent="0.25">
      <c r="A2" s="4"/>
      <c r="B2" s="4"/>
      <c r="C2" s="4"/>
      <c r="D2" s="7" t="s">
        <v>151</v>
      </c>
      <c r="E2" s="7" t="s">
        <v>152</v>
      </c>
    </row>
    <row r="3" spans="1:5" x14ac:dyDescent="0.25">
      <c r="D3">
        <f>SUM(D5:D24)</f>
        <v>19</v>
      </c>
      <c r="E3">
        <f>SUM(E5:E24)</f>
        <v>0</v>
      </c>
    </row>
    <row r="4" spans="1:5" x14ac:dyDescent="0.25">
      <c r="A4" s="8" t="s">
        <v>153</v>
      </c>
      <c r="B4" s="8" t="s">
        <v>154</v>
      </c>
      <c r="C4" s="8" t="s">
        <v>155</v>
      </c>
      <c r="D4" s="8" t="s">
        <v>151</v>
      </c>
      <c r="E4" s="8" t="s">
        <v>156</v>
      </c>
    </row>
    <row r="5" spans="1:5" x14ac:dyDescent="0.25">
      <c r="A5" t="s">
        <v>157</v>
      </c>
      <c r="B5" t="s">
        <v>158</v>
      </c>
      <c r="C5" t="s">
        <v>98</v>
      </c>
      <c r="D5">
        <v>1</v>
      </c>
      <c r="E5">
        <v>0</v>
      </c>
    </row>
    <row r="6" spans="1:5" x14ac:dyDescent="0.25">
      <c r="A6" t="s">
        <v>159</v>
      </c>
      <c r="B6" t="s">
        <v>22</v>
      </c>
      <c r="C6" t="s">
        <v>70</v>
      </c>
      <c r="D6">
        <v>18</v>
      </c>
      <c r="E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" customWidth="1"/>
    <col min="2" max="2" width="29.7109375" customWidth="1"/>
    <col min="3" max="3" width="27.28515625" customWidth="1"/>
    <col min="4" max="4" width="25.7109375" style="3" customWidth="1"/>
    <col min="5" max="5" width="19.42578125" style="3" customWidth="1"/>
    <col min="6" max="6" width="16.5703125" style="3" customWidth="1"/>
    <col min="7" max="7" width="18.140625" style="3" customWidth="1"/>
    <col min="8" max="8" width="10.42578125" style="3" customWidth="1"/>
  </cols>
  <sheetData>
    <row r="1" spans="1:8" x14ac:dyDescent="0.25">
      <c r="A1" s="4" t="s">
        <v>160</v>
      </c>
    </row>
    <row r="2" spans="1:8" x14ac:dyDescent="0.25">
      <c r="A2" s="4"/>
      <c r="B2" s="7" t="s">
        <v>161</v>
      </c>
      <c r="C2" s="4"/>
      <c r="D2" s="11" t="s">
        <v>162</v>
      </c>
      <c r="E2" s="11" t="s">
        <v>136</v>
      </c>
      <c r="F2" s="11" t="s">
        <v>137</v>
      </c>
      <c r="G2" s="11" t="s">
        <v>138</v>
      </c>
      <c r="H2" s="11" t="s">
        <v>6</v>
      </c>
    </row>
    <row r="4" spans="1:8" x14ac:dyDescent="0.25">
      <c r="A4" s="8" t="s">
        <v>163</v>
      </c>
      <c r="B4" s="8" t="s">
        <v>164</v>
      </c>
      <c r="C4" s="8" t="s">
        <v>165</v>
      </c>
      <c r="D4" s="10" t="s">
        <v>166</v>
      </c>
      <c r="E4" s="10" t="s">
        <v>167</v>
      </c>
      <c r="F4" s="10" t="s">
        <v>168</v>
      </c>
      <c r="G4" s="10" t="s">
        <v>169</v>
      </c>
      <c r="H4" s="1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2026-04-11T15:24:05Z</dcterms:modified>
</cp:coreProperties>
</file>