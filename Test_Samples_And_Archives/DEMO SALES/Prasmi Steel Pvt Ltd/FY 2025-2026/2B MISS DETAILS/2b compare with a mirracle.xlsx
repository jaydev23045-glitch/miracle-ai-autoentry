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2B MISS DETAILS/"/>
    </mc:Choice>
  </mc:AlternateContent>
  <xr:revisionPtr revIDLastSave="37" documentId="14_{8DEF2ACD-C9DC-4DE6-828E-ED8CB00B7F67}" xr6:coauthVersionLast="47" xr6:coauthVersionMax="47" xr10:uidLastSave="{F499CC49-19DE-4507-A90C-3E78C8F569B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</calcChain>
</file>

<file path=xl/sharedStrings.xml><?xml version="1.0" encoding="utf-8"?>
<sst xmlns="http://schemas.openxmlformats.org/spreadsheetml/2006/main" count="77" uniqueCount="27">
  <si>
    <t>S.NO.</t>
  </si>
  <si>
    <t>ICEGATE Reference Date</t>
  </si>
  <si>
    <t>Port Code</t>
  </si>
  <si>
    <t>Bill of Entry Number</t>
  </si>
  <si>
    <t>Bill of Entry Date</t>
  </si>
  <si>
    <t>Taxable Value (₹)</t>
  </si>
  <si>
    <t>Integrated Tax (₹)</t>
  </si>
  <si>
    <t>Cess (₹)</t>
  </si>
  <si>
    <t>INMUN1</t>
  </si>
  <si>
    <t xml:space="preserve">Mirracle Or </t>
  </si>
  <si>
    <t>Physcial Bill</t>
  </si>
  <si>
    <t>done</t>
  </si>
  <si>
    <t xml:space="preserve">done </t>
  </si>
  <si>
    <t>amon bill found</t>
  </si>
  <si>
    <t>Missing</t>
  </si>
  <si>
    <t>Yes - INV/25-26/4154</t>
  </si>
  <si>
    <t>also I find prsim group 09032025 date debit notes</t>
  </si>
  <si>
    <t>North importa invoice no</t>
  </si>
  <si>
    <t>Yes - INV/25-26/4030</t>
  </si>
  <si>
    <t>yes - INV/25-26/4433</t>
  </si>
  <si>
    <t>yes - inr/25-26/5410</t>
  </si>
  <si>
    <t>25148(availble In folder)</t>
  </si>
  <si>
    <t>25157(Avaolble in folder)</t>
  </si>
  <si>
    <t>yes - inr/25-26/5607</t>
  </si>
  <si>
    <t>value</t>
  </si>
  <si>
    <t>Done</t>
  </si>
  <si>
    <t>if red done jaydev work after bill send cleint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</si>
</sst>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0A0A0A"/>
      <name val="Arial"/>
      <family val="2"/>
    </font>
    <font>
      <sz val="8"/>
      <color rgb="FF0A0A0A"/>
      <name val="Arial"/>
      <family val="2"/>
    </font>
    <font>
      <sz val="8"/>
      <color rgb="FF000000"/>
      <name val="Verdana"/>
      <family val="2"/>
    </font>
    <font>
      <sz val="8"/>
      <color rgb="FF212121"/>
      <name val="Verdana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 wrapText="1"/>
    </xf>
    <xf numFmtId="4" fontId="2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horizontal="center" vertical="top"/>
    </xf>
    <xf numFmtId="14" fontId="3" fillId="2" borderId="2" xfId="0" applyNumberFormat="1" applyFont="1" applyFill="1" applyBorder="1" applyAlignment="1">
      <alignment horizontal="center" vertical="top"/>
    </xf>
    <xf numFmtId="4" fontId="4" fillId="2" borderId="2" xfId="0" applyNumberFormat="1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vertical="top" wrapText="1"/>
    </xf>
    <xf numFmtId="4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D1" zoomScale="160" zoomScaleNormal="160" workbookViewId="0">
      <selection activeCell="M16" sqref="M16"/>
    </sheetView>
  </sheetViews>
  <sheetFormatPr defaultRowHeight="14.4" x14ac:dyDescent="0.3"/>
  <cols>
    <col min="2" max="2" width="10.88671875" bestFit="1" customWidth="1"/>
    <col min="3" max="3" width="9.109375" bestFit="1" customWidth="1"/>
    <col min="4" max="4" width="8.109375" bestFit="1" customWidth="1"/>
    <col min="5" max="5" width="10.6640625" bestFit="1" customWidth="1"/>
    <col min="6" max="6" width="11.6640625" bestFit="1" customWidth="1"/>
    <col min="7" max="7" width="10.5546875" bestFit="1" customWidth="1"/>
    <col min="9" max="9" width="11.6640625" bestFit="1" customWidth="1"/>
    <col min="10" max="10" width="8.6640625" bestFit="1" customWidth="1"/>
    <col min="13" max="13" width="21.109375" bestFit="1" customWidth="1"/>
    <col min="14" max="14" width="18.77734375" bestFit="1" customWidth="1"/>
  </cols>
  <sheetData>
    <row r="1" spans="1:16" ht="31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24</v>
      </c>
      <c r="J1" s="8" t="s">
        <v>9</v>
      </c>
      <c r="L1" s="8" t="s">
        <v>10</v>
      </c>
      <c r="M1" s="8" t="s">
        <v>17</v>
      </c>
      <c r="N1" s="13" t="s">
        <v>13</v>
      </c>
      <c r="P1" t="s">
        <v>26</v>
      </c>
    </row>
    <row r="2" spans="1:16" ht="15" thickBot="1" x14ac:dyDescent="0.35">
      <c r="A2" s="2">
        <v>1</v>
      </c>
      <c r="B2" s="3">
        <v>45770</v>
      </c>
      <c r="C2" s="2" t="s">
        <v>8</v>
      </c>
      <c r="D2" s="2">
        <v>9575671</v>
      </c>
      <c r="E2" s="3">
        <v>45765</v>
      </c>
      <c r="F2" s="4">
        <v>2970860.31</v>
      </c>
      <c r="G2" s="4">
        <v>534755</v>
      </c>
      <c r="H2" s="2">
        <v>0</v>
      </c>
      <c r="I2" s="15">
        <f>+F2+G2</f>
        <v>3505615.31</v>
      </c>
      <c r="J2" t="s">
        <v>11</v>
      </c>
      <c r="L2" t="s">
        <v>11</v>
      </c>
    </row>
    <row r="3" spans="1:16" ht="15" thickBot="1" x14ac:dyDescent="0.35">
      <c r="A3" s="2">
        <v>1</v>
      </c>
      <c r="B3" s="3">
        <v>45794</v>
      </c>
      <c r="C3" s="2" t="s">
        <v>8</v>
      </c>
      <c r="D3" s="2">
        <v>2026461</v>
      </c>
      <c r="E3" s="3">
        <v>45790</v>
      </c>
      <c r="F3" s="4">
        <v>1591136.75</v>
      </c>
      <c r="G3" s="4">
        <v>286405</v>
      </c>
      <c r="H3" s="2">
        <v>0</v>
      </c>
      <c r="I3" s="15">
        <f t="shared" ref="I3:I17" si="0">+F3+G3</f>
        <v>1877541.75</v>
      </c>
      <c r="J3" t="s">
        <v>12</v>
      </c>
      <c r="L3" t="s">
        <v>12</v>
      </c>
    </row>
    <row r="4" spans="1:16" ht="15" thickBot="1" x14ac:dyDescent="0.35">
      <c r="A4" s="2">
        <v>2</v>
      </c>
      <c r="B4" s="3">
        <v>45782</v>
      </c>
      <c r="C4" s="2" t="s">
        <v>8</v>
      </c>
      <c r="D4" s="2">
        <v>9635338</v>
      </c>
      <c r="E4" s="3">
        <v>45769</v>
      </c>
      <c r="F4" s="4">
        <v>768229.67</v>
      </c>
      <c r="G4" s="4">
        <v>138281</v>
      </c>
      <c r="H4" s="2">
        <v>0</v>
      </c>
      <c r="I4" s="15">
        <f t="shared" si="0"/>
        <v>906510.67</v>
      </c>
      <c r="J4" t="s">
        <v>12</v>
      </c>
      <c r="L4" t="s">
        <v>11</v>
      </c>
    </row>
    <row r="5" spans="1:16" ht="15" thickBot="1" x14ac:dyDescent="0.35">
      <c r="A5" s="5">
        <v>3</v>
      </c>
      <c r="B5" s="6">
        <v>45785</v>
      </c>
      <c r="C5" s="5" t="s">
        <v>8</v>
      </c>
      <c r="D5" s="5">
        <v>9672476</v>
      </c>
      <c r="E5" s="6">
        <v>45771</v>
      </c>
      <c r="F5" s="7">
        <v>2247974.9700000002</v>
      </c>
      <c r="G5" s="7">
        <v>404636</v>
      </c>
      <c r="H5" s="5">
        <v>0</v>
      </c>
      <c r="I5" s="15">
        <f t="shared" si="0"/>
        <v>2652610.9700000002</v>
      </c>
      <c r="J5" t="s">
        <v>12</v>
      </c>
      <c r="L5" t="s">
        <v>11</v>
      </c>
    </row>
    <row r="6" spans="1:16" ht="15" thickBot="1" x14ac:dyDescent="0.35">
      <c r="A6" s="9">
        <v>1</v>
      </c>
      <c r="B6" s="10">
        <v>45855</v>
      </c>
      <c r="C6" s="9" t="s">
        <v>8</v>
      </c>
      <c r="D6" s="9">
        <v>3206299</v>
      </c>
      <c r="E6" s="10">
        <v>45849</v>
      </c>
      <c r="F6" s="11">
        <v>2700321.07</v>
      </c>
      <c r="G6" s="11">
        <v>486058</v>
      </c>
      <c r="H6" s="12">
        <v>0</v>
      </c>
      <c r="I6" s="15">
        <f t="shared" si="0"/>
        <v>3186379.07</v>
      </c>
      <c r="J6" t="s">
        <v>11</v>
      </c>
      <c r="L6" t="s">
        <v>11</v>
      </c>
    </row>
    <row r="7" spans="1:16" ht="15" thickBot="1" x14ac:dyDescent="0.35">
      <c r="A7" s="9">
        <v>2</v>
      </c>
      <c r="B7" s="10">
        <v>45869</v>
      </c>
      <c r="C7" s="9" t="s">
        <v>8</v>
      </c>
      <c r="D7" s="9">
        <v>3508270</v>
      </c>
      <c r="E7" s="10">
        <v>45864</v>
      </c>
      <c r="F7" s="11">
        <v>703563.76</v>
      </c>
      <c r="G7" s="11">
        <v>126642</v>
      </c>
      <c r="H7" s="12">
        <v>0</v>
      </c>
      <c r="I7" s="15">
        <f t="shared" si="0"/>
        <v>830205.76</v>
      </c>
      <c r="J7" t="s">
        <v>11</v>
      </c>
      <c r="L7" t="s">
        <v>11</v>
      </c>
    </row>
    <row r="8" spans="1:16" ht="15" thickBot="1" x14ac:dyDescent="0.35">
      <c r="A8" s="9">
        <v>3</v>
      </c>
      <c r="B8" s="10">
        <v>45869</v>
      </c>
      <c r="C8" s="9" t="s">
        <v>8</v>
      </c>
      <c r="D8" s="9">
        <v>3508274</v>
      </c>
      <c r="E8" s="10">
        <v>45864</v>
      </c>
      <c r="F8" s="11">
        <v>695416.34</v>
      </c>
      <c r="G8" s="11">
        <v>125175</v>
      </c>
      <c r="H8" s="12">
        <v>0</v>
      </c>
      <c r="I8" s="15">
        <f t="shared" si="0"/>
        <v>820591.34</v>
      </c>
      <c r="J8" t="s">
        <v>11</v>
      </c>
      <c r="L8" t="s">
        <v>11</v>
      </c>
    </row>
    <row r="9" spans="1:16" ht="15" thickBot="1" x14ac:dyDescent="0.35">
      <c r="A9" s="9">
        <v>1</v>
      </c>
      <c r="B9" s="10">
        <v>45876</v>
      </c>
      <c r="C9" s="9" t="s">
        <v>8</v>
      </c>
      <c r="D9" s="9">
        <v>3639949</v>
      </c>
      <c r="E9" s="10">
        <v>45870</v>
      </c>
      <c r="F9" s="11">
        <v>1336887.01</v>
      </c>
      <c r="G9" s="11">
        <v>240640</v>
      </c>
      <c r="H9" s="12">
        <v>0</v>
      </c>
      <c r="I9" s="15">
        <f t="shared" si="0"/>
        <v>1577527.01</v>
      </c>
      <c r="J9" s="16" t="s">
        <v>25</v>
      </c>
      <c r="L9" s="16" t="s">
        <v>25</v>
      </c>
      <c r="M9" s="16" t="s">
        <v>25</v>
      </c>
      <c r="N9" s="16" t="s">
        <v>25</v>
      </c>
    </row>
    <row r="10" spans="1:16" ht="15" thickBot="1" x14ac:dyDescent="0.35">
      <c r="A10" s="9">
        <v>2</v>
      </c>
      <c r="B10" s="10">
        <v>45887</v>
      </c>
      <c r="C10" s="9" t="s">
        <v>8</v>
      </c>
      <c r="D10" s="9">
        <v>3804046</v>
      </c>
      <c r="E10" s="10">
        <v>45879</v>
      </c>
      <c r="F10" s="11">
        <v>2814089.85</v>
      </c>
      <c r="G10" s="11">
        <v>506536</v>
      </c>
      <c r="H10" s="12">
        <v>0</v>
      </c>
      <c r="I10" s="15">
        <f t="shared" si="0"/>
        <v>3320625.85</v>
      </c>
      <c r="J10" s="16" t="s">
        <v>25</v>
      </c>
      <c r="L10" s="16" t="s">
        <v>25</v>
      </c>
      <c r="M10">
        <v>25116</v>
      </c>
      <c r="N10" t="s">
        <v>18</v>
      </c>
      <c r="O10" t="s">
        <v>16</v>
      </c>
    </row>
    <row r="11" spans="1:16" ht="15" thickBot="1" x14ac:dyDescent="0.35">
      <c r="A11" s="9">
        <v>3</v>
      </c>
      <c r="B11" s="10">
        <v>45894</v>
      </c>
      <c r="C11" s="9" t="s">
        <v>8</v>
      </c>
      <c r="D11" s="9">
        <v>3926412</v>
      </c>
      <c r="E11" s="10">
        <v>45885</v>
      </c>
      <c r="F11" s="11">
        <v>697676.45</v>
      </c>
      <c r="G11" s="11">
        <v>125582</v>
      </c>
      <c r="H11" s="12">
        <v>0</v>
      </c>
      <c r="I11" s="15">
        <f t="shared" si="0"/>
        <v>823258.45</v>
      </c>
      <c r="J11" s="16" t="s">
        <v>25</v>
      </c>
      <c r="L11" s="16" t="s">
        <v>25</v>
      </c>
      <c r="M11">
        <v>25117</v>
      </c>
      <c r="N11" t="s">
        <v>15</v>
      </c>
      <c r="O11" t="s">
        <v>16</v>
      </c>
    </row>
    <row r="12" spans="1:16" ht="15" thickBot="1" x14ac:dyDescent="0.35">
      <c r="A12" s="9">
        <v>4</v>
      </c>
      <c r="B12" s="10">
        <v>45898</v>
      </c>
      <c r="C12" s="9" t="s">
        <v>8</v>
      </c>
      <c r="D12" s="9">
        <v>4047868</v>
      </c>
      <c r="E12" s="10">
        <v>45891</v>
      </c>
      <c r="F12" s="11">
        <v>3506547.9</v>
      </c>
      <c r="G12" s="11">
        <v>631179</v>
      </c>
      <c r="H12" s="12">
        <v>0</v>
      </c>
      <c r="I12" s="15">
        <f t="shared" si="0"/>
        <v>4137726.9</v>
      </c>
      <c r="J12" s="16" t="s">
        <v>25</v>
      </c>
      <c r="L12" s="16" t="s">
        <v>25</v>
      </c>
      <c r="M12">
        <v>25119</v>
      </c>
      <c r="N12" t="s">
        <v>19</v>
      </c>
    </row>
    <row r="13" spans="1:16" ht="15" thickBot="1" x14ac:dyDescent="0.35">
      <c r="A13" s="9">
        <v>5</v>
      </c>
      <c r="B13" s="10">
        <v>45897</v>
      </c>
      <c r="C13" s="9" t="s">
        <v>8</v>
      </c>
      <c r="D13" s="9">
        <v>4048656</v>
      </c>
      <c r="E13" s="10">
        <v>45891</v>
      </c>
      <c r="F13" s="11">
        <v>716543</v>
      </c>
      <c r="G13" s="11">
        <v>128978</v>
      </c>
      <c r="H13" s="12">
        <v>0</v>
      </c>
      <c r="I13" s="15">
        <f t="shared" si="0"/>
        <v>845521</v>
      </c>
      <c r="J13" s="16" t="s">
        <v>25</v>
      </c>
      <c r="L13" s="16" t="s">
        <v>25</v>
      </c>
      <c r="M13">
        <v>25118</v>
      </c>
      <c r="N13" s="16" t="s">
        <v>25</v>
      </c>
      <c r="O13" s="16" t="s">
        <v>25</v>
      </c>
    </row>
    <row r="14" spans="1:16" ht="15" thickBot="1" x14ac:dyDescent="0.35">
      <c r="A14" s="9">
        <v>1</v>
      </c>
      <c r="B14" s="10">
        <v>45904</v>
      </c>
      <c r="C14" s="9" t="s">
        <v>8</v>
      </c>
      <c r="D14" s="9">
        <v>4162854</v>
      </c>
      <c r="E14" s="10">
        <v>45897</v>
      </c>
      <c r="F14" s="11">
        <v>3504938.12</v>
      </c>
      <c r="G14" s="11">
        <v>630889</v>
      </c>
      <c r="H14" s="12">
        <v>0</v>
      </c>
      <c r="I14" s="15">
        <f t="shared" si="0"/>
        <v>4135827.12</v>
      </c>
      <c r="J14" s="16" t="s">
        <v>25</v>
      </c>
      <c r="L14" s="16" t="s">
        <v>25</v>
      </c>
      <c r="M14" s="16">
        <v>25113</v>
      </c>
      <c r="N14" s="16" t="s">
        <v>25</v>
      </c>
    </row>
    <row r="15" spans="1:16" ht="15" thickBot="1" x14ac:dyDescent="0.35">
      <c r="A15" s="9">
        <v>2</v>
      </c>
      <c r="B15" s="10">
        <v>45919</v>
      </c>
      <c r="C15" s="9" t="s">
        <v>8</v>
      </c>
      <c r="D15" s="9">
        <v>4499808</v>
      </c>
      <c r="E15" s="10">
        <v>45913</v>
      </c>
      <c r="F15" s="11">
        <v>3578737.7</v>
      </c>
      <c r="G15" s="11">
        <v>644173</v>
      </c>
      <c r="H15" s="12">
        <v>0</v>
      </c>
      <c r="I15" s="15">
        <f t="shared" si="0"/>
        <v>4222910.7</v>
      </c>
      <c r="J15" s="16" t="s">
        <v>25</v>
      </c>
      <c r="K15" s="16"/>
      <c r="L15" s="16" t="s">
        <v>25</v>
      </c>
      <c r="M15">
        <v>25139</v>
      </c>
      <c r="N15" t="s">
        <v>14</v>
      </c>
    </row>
    <row r="16" spans="1:16" ht="15" thickBot="1" x14ac:dyDescent="0.35">
      <c r="A16" s="9">
        <v>1</v>
      </c>
      <c r="B16" s="10">
        <v>45931</v>
      </c>
      <c r="C16" s="9" t="s">
        <v>8</v>
      </c>
      <c r="D16" s="9">
        <v>4731832</v>
      </c>
      <c r="E16" s="10">
        <v>45925</v>
      </c>
      <c r="F16" s="11">
        <v>1435947.32</v>
      </c>
      <c r="G16" s="11">
        <v>258471</v>
      </c>
      <c r="H16" s="12">
        <v>0</v>
      </c>
      <c r="I16" s="15">
        <f t="shared" si="0"/>
        <v>1694418.32</v>
      </c>
      <c r="J16" s="16" t="s">
        <v>25</v>
      </c>
      <c r="L16" s="16" t="s">
        <v>25</v>
      </c>
      <c r="M16" t="s">
        <v>21</v>
      </c>
      <c r="N16" t="s">
        <v>20</v>
      </c>
    </row>
    <row r="17" spans="1:14" ht="15" thickBot="1" x14ac:dyDescent="0.35">
      <c r="A17" s="9">
        <v>2</v>
      </c>
      <c r="B17" s="10">
        <v>45939</v>
      </c>
      <c r="C17" s="9" t="s">
        <v>8</v>
      </c>
      <c r="D17" s="9">
        <v>4890694</v>
      </c>
      <c r="E17" s="10">
        <v>45933</v>
      </c>
      <c r="F17" s="11">
        <v>739573.36</v>
      </c>
      <c r="G17" s="11">
        <v>133123</v>
      </c>
      <c r="H17" s="12">
        <v>0</v>
      </c>
      <c r="I17" s="15">
        <f t="shared" si="0"/>
        <v>872696.36</v>
      </c>
      <c r="J17" s="16" t="s">
        <v>25</v>
      </c>
      <c r="L17" s="16" t="s">
        <v>25</v>
      </c>
      <c r="M17" t="s">
        <v>22</v>
      </c>
      <c r="N17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2015-06-05T18:17:20Z</dcterms:created>
  <dcterms:modified xsi:type="dcterms:W3CDTF">2025-12-24T13:24:30Z</dcterms:modified>
</cp:coreProperties>
</file>