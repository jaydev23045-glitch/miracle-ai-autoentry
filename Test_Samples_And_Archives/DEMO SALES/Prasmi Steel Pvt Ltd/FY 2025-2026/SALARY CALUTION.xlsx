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5-2026/"/>
    </mc:Choice>
  </mc:AlternateContent>
  <xr:revisionPtr revIDLastSave="546" documentId="8_{C1EE337A-BFD1-4A35-9FD5-873C606B6260}" xr6:coauthVersionLast="47" xr6:coauthVersionMax="47" xr10:uidLastSave="{6166CC49-7E38-4171-A7F0-1893B493E3B3}"/>
  <bookViews>
    <workbookView xWindow="-120" yWindow="-120" windowWidth="24240" windowHeight="13020" activeTab="4" xr2:uid="{B9FCB894-7359-439E-8D85-4CCD78B132FE}"/>
  </bookViews>
  <sheets>
    <sheet name="Sheet8" sheetId="19" r:id="rId1"/>
    <sheet name="DEBIT - Salary" sheetId="1" r:id="rId2"/>
    <sheet name="Credit - Salary" sheetId="2" r:id="rId3"/>
    <sheet name="Calution KGs Purchase Sales" sheetId="6" r:id="rId4"/>
    <sheet name="Sheet1" sheetId="10" r:id="rId5"/>
  </sheets>
  <definedNames>
    <definedName name="_xlcn.WorksheetConnection_DEBITSalaryA1A1421" hidden="1">'DEBIT - Salary'!$A$1:$A$142</definedName>
    <definedName name="_xlcn.WorksheetConnection_SALARYCALUTION.xlsxTable11" hidden="1">Table1[]</definedName>
  </definedNames>
  <calcPr calcId="191029"/>
  <pivotCaches>
    <pivotCache cacheId="106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DEBIT - Salary!$A$1:$A$142"/>
          <x15:modelTable id="Table1" name="Table1" connection="WorksheetConnection_SALARY CALUTION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9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40" i="1"/>
  <c r="B141" i="1"/>
  <c r="B142" i="1"/>
  <c r="F12" i="10"/>
  <c r="B8" i="10"/>
  <c r="B3" i="10"/>
  <c r="D3" i="10"/>
  <c r="C3" i="10"/>
  <c r="E11" i="10"/>
  <c r="B4" i="10"/>
  <c r="B5" i="10"/>
  <c r="B7" i="10"/>
  <c r="G12" i="10" s="1"/>
  <c r="M2" i="6"/>
  <c r="D2" i="6"/>
  <c r="B9" i="10" l="1"/>
  <c r="B11" i="10"/>
  <c r="B13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4BF1D2-E466-46D4-9487-504E78D9212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CBD2038-A543-4BC8-86CE-F0D7812367C3}" name="WorksheetConnection_DEBIT - Salary!$A$1:$A$142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EBITSalaryA1A1421"/>
        </x15:connection>
      </ext>
    </extLst>
  </connection>
  <connection id="3" xr16:uid="{6917BBB1-615C-44D5-9523-A0F023D6BAD0}" name="WorksheetConnection_SALARY CALUTION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SALARYCALUTION.xlsxTable11"/>
        </x15:connection>
      </ext>
    </extLst>
  </connection>
</connections>
</file>

<file path=xl/sharedStrings.xml><?xml version="1.0" encoding="utf-8"?>
<sst xmlns="http://schemas.openxmlformats.org/spreadsheetml/2006/main" count="903" uniqueCount="411">
  <si>
    <t>Credit</t>
  </si>
  <si>
    <t>Particulars</t>
  </si>
  <si>
    <t>Debit</t>
  </si>
  <si>
    <t>17/11/2025 BRct</t>
  </si>
  <si>
    <t>ICICI BANK LTD</t>
  </si>
  <si>
    <t>MMT/IMPS/532114</t>
  </si>
  <si>
    <t>KESHA VLABO</t>
  </si>
  <si>
    <t>882122/SalaryHisa</t>
  </si>
  <si>
    <t>b/PintuHisab/IPOS 0</t>
  </si>
  <si>
    <t>18/11/2025 BRct</t>
  </si>
  <si>
    <t>NEFT-RETURNIN4253225412597</t>
  </si>
  <si>
    <t>9-MITHILESH</t>
  </si>
  <si>
    <t>YADAV-Not s</t>
  </si>
  <si>
    <t>HIRALAL</t>
  </si>
  <si>
    <t>PINTU</t>
  </si>
  <si>
    <t>MITHAILAN</t>
  </si>
  <si>
    <t>SALARY</t>
  </si>
  <si>
    <t>23/03/2026 BPmt ICICI BANK LTD MMT/IMPS/608217
924066/AdvanceM arch26/SONULOT HDA/ID</t>
  </si>
  <si>
    <t>23/03/2026 BPmt ICICI BANK LTD MMT/IMPS/608217
921181/AdvanceM arch26/MITHAILOT H/ID</t>
  </si>
  <si>
    <t>23/03/2026 BPmt ICICI BANK LTD MMT/IMPS/608217
902750/AdvanceM arch26/KESHAVLA BO/ID</t>
  </si>
  <si>
    <t>23/03/2026 BPmt ICICI BANK LTD MMT/IMPS/608217
900625/AdvanceM arch26/HIRALALP OS/IP</t>
  </si>
  <si>
    <t>19/03/2026 BPmt ICICI BANK LTD MMT/IMPS/607812
736833/AdvanceM arch26/SONULOT HDA/ID</t>
  </si>
  <si>
    <t>11/03/2026 BPmt ICICI BANK LTD MMT/IMPS/607011
242185/SalaryFeb2 6/HiralalPos/IPOS0</t>
  </si>
  <si>
    <t>02/03/2026 BPmt ICICI BANK LTD MMT/IMPS/606113
176957/Advance20 26/PINTULOTHA/I DIB0</t>
  </si>
  <si>
    <t>25/02/2026 BPmt ICICI BANK LTD MMT/IMPS/605610
663206/AdvanceFe b26/SonuLothda/ID IB</t>
  </si>
  <si>
    <t>25/02/2026 BPmt ICICI BANK LTD MMT/IMPS/605610
660472/AdvanceFe b26/HiralalPos/IPO S</t>
  </si>
  <si>
    <t>16/02/2026 BPmt ICICI BANK LTD MMT/IMPS/604710
636095/DiskBreakL abour/SureshLoth/I</t>
  </si>
  <si>
    <t>16/02/2026 BPmt ICICI BANK LTD MMT/IMPS/604710
629878/DiskBreakL abour/SonuLothda/ I</t>
  </si>
  <si>
    <t>16/02/2026 BPmt ICICI BANK LTD MMT/IMPS/604710
626285/DiskBreakL abour/DineshLabo/I</t>
  </si>
  <si>
    <t>14/02/2026 BPmt ICICI BANK LTD MMT/IMPS/604519
689435/AdvanceFe b26/MadhuLabou/I DIB</t>
  </si>
  <si>
    <t>11/02/2026 BPmt ICICI BANK LTD MMT/IMPS/604215
645121/DiskBreakL abour/DineshLabo/I</t>
  </si>
  <si>
    <t>04/02/2026 BPmt ICICI BANK LTD MMT/IMPS/603509
151583/SalaryJan2 6/MadhuLabou/IDI B0</t>
  </si>
  <si>
    <t>24/01/2026 BPmt ICICI BANK LTD MMT/IMPS/602419 126449/SalaryJan2 6/MadhuLabou/IDI B0</t>
  </si>
  <si>
    <t>23/01/2026 BPmt ICICI BANK LTD MMT/IMPS/602320 521255/DiskBreakl abor/HiralalPos/IP</t>
  </si>
  <si>
    <t>22/01/2026 BPmt ICICI BANK LTD MMT/IMPS/602210 289752/SalaryJan2 026/DINESHLABO/ IDI</t>
  </si>
  <si>
    <t>22/01/2026 BPmt ICICI BANK LTD MMT/IMPS/602210 286384/SalaryJan2 026/SURESHLOT H/IDI</t>
  </si>
  <si>
    <t>22/01/2026 BPmt ICICI BANK LTD MMT/IMPS/602210 285117/SalaryJan2 026/RAMDALLAB O/IPO</t>
  </si>
  <si>
    <t>22/01/2026 BPmt ICICI BANK LTD MMT/IMPS/602210 283745/SalaryJan2 026/DINESHLABO/ IDI</t>
  </si>
  <si>
    <t>22/01/2026 BPmt ICICI BANK LTD MMT/IMPS/602210 282403/SalaryJan2 026/SONULOTHD A/IDI</t>
  </si>
  <si>
    <t>22/01/2026 BPmt ICICI BANK LTD MMT/IMPS/602210 280017/SalaryJan2 026/NANKELABO U/IDI</t>
  </si>
  <si>
    <t>20/01/2026 BPmt ICICI BANK LTD MMT/IMPS/602210 274284/SalaryJan2 026/HIRALALPOS/ IPO</t>
  </si>
  <si>
    <t>11/01/2026 BPmt ICICI BANK LTD INF/NEFT/IN42601 654939531/IDIB00 0R007/AdvanceJan 26</t>
  </si>
  <si>
    <t>11/01/2026 BPmt ICICI BANK LTD MMT/IMPS/601123 805700/Unloading Charge/MunimLab ou/K</t>
  </si>
  <si>
    <t>11/01/2026 BPmt ICICI BANK LTD MMT/IMPS/601110 728103/SalaryDec 25/MunimLabou/K KBK0</t>
  </si>
  <si>
    <t>11/01/2026 BPmt ICICI BANK LTD MMT/IMPS/601110 727125/SalaryDec 25/MadhuLabou/ID IB0</t>
  </si>
  <si>
    <t>11/01/2026 BPmt ICICI BANK LTD MMT/IMPS/601110 721485/SalaryDec 25/SureshLoth/IDIB 0</t>
  </si>
  <si>
    <t>10/01/2026 BPmt ICICI BANK LTD MMT/IMPS/601023 448260/SalaryDec 25/DineshLabo/IDI B0</t>
  </si>
  <si>
    <t>10/01/2026 BPmt ICICI BANK LTD MMT/IMPS/601023 446134/SalaryDec 25/RamDalLabo/IP OS</t>
  </si>
  <si>
    <t>10/01/2026 BPmt ICICI BANK LTD MMT/IMPS/601023 446001/SalaryDec 25/SureshLoth/IDIB 0</t>
  </si>
  <si>
    <t>10/01/2026 BPmt ICICI BANK LTD MMT/IMPS/601023 444378/SalaryDec 25/HiralalPos/IPOS 0</t>
  </si>
  <si>
    <t>10/01/2026 BPmt ICICI BANK LTD MMT/IMPS/601023 443969/SalaryDec 25/NankeLabou/IDI B0</t>
  </si>
  <si>
    <t>10/01/2026 BPmt ICICI BANK LTD MMT/IMPS/601023 441265/SalaryDec 25/SonuLothda/IDI B0</t>
  </si>
  <si>
    <t>07/01/2026 BPmt ICICI BANK LTD MMT/IMPS/600710 315594/AdvanceJa n26/MunimLabou/K KBK</t>
  </si>
  <si>
    <t>06/01/2026 BPmt ICICI BANK LTD MMT/IMPS/600616 068172/DiskBreak Unload/DineshLab o/I</t>
  </si>
  <si>
    <t>06/01/2026 BPmt ICICI BANK LTD MMT/IMPS/600609 031369/AdvanceD ec25/MunimLabou/ KKBK</t>
  </si>
  <si>
    <t>26/12/2025 BPmt ICICI BANK LTD MMT/IMPS/536011 081394/SalaryDec 25/MithaiLoth/IDIB 0</t>
  </si>
  <si>
    <t>26/12/2025 BPmt ICICI BANK LTD MMT/IMPS/536011 078615/SalaryDec 25/manoharlab/IDI B0</t>
  </si>
  <si>
    <t>23/12/2025 BPmt ICICI BANK LTD MMT/IMPS/535719 612405/AdvanceD ec25/RAMDALLAB O/IPOS</t>
  </si>
  <si>
    <t>23/12/2025 BPmt ICICI BANK LTD MMT/IMPS/535719 611882/AdvanceD ec25/SURESHLAB O/HDFC</t>
  </si>
  <si>
    <t>23/12/2025 BPmt ICICI BANK LTD MMT/IMPS/535719 610912/AdvanceD ec25/DINESHLAB O/IDIB</t>
  </si>
  <si>
    <t>23/12/2025 BPmt ICICI BANK LTD MMT/IMPS/535719 609999/AdvanceD ec25/BACHCHHR AJ/IDIB</t>
  </si>
  <si>
    <t>23/12/2025 BPmt ICICI BANK LTD MMT/IMPS/535719 608264/AdvanceD ec25/MANOHARL AB/IDIB</t>
  </si>
  <si>
    <t>23/12/2025 BPmt ICICI BANK LTD MMT/IMPS/535719 606469/AdvanceD ec25/SONULOTHD A/IDIB</t>
  </si>
  <si>
    <t>23/12/2025 BPmt ICICI BANK LTD MMT/IMPS/535719 605125/AdvanceD ec25/NANKELABO U/IDIB</t>
  </si>
  <si>
    <t>23/12/2025 BPmt ICICI BANK LTD MMT/IMPS/535719 603470/AdvanceD ec25/MITHAILOTH /IDIB</t>
  </si>
  <si>
    <t>23/12/2025 BPmt ICICI BANK LTD MMT/IMPS/535719 603880/AdvanceD ec25/HIRALALPOS /IPOS</t>
  </si>
  <si>
    <t>22/12/2025 BPmt ICICI BANK LTD MMT/IMPS/535610 423181/AdvanceD ec25/MunimLabou/ KKBK</t>
  </si>
  <si>
    <t>13/12/2025 BPmt ICICI BANK LTD MMT/IMPS/534718 602106/AdvanceD ec25/MunimLabou/ KKBK</t>
  </si>
  <si>
    <t>13/12/2025 BPmt ICICI BANK LTD MMT/IMPS/534700 462031/SalaryNov 25/RamDalLabo/IP OS0</t>
  </si>
  <si>
    <t>11/12/2025 BPmt ICICI BANK LTD MMT/IMPS/534516 789028/SalaryNov 25/NankeLabou/IDI B0</t>
  </si>
  <si>
    <t>10/12/2025 BPmt ICICI BANK LTD MMT/IMPS/534417 782941/SalaryNov 25/MithaiLoth/IDIB 0</t>
  </si>
  <si>
    <t>10/12/2025 BPmt ICICI BANK LTD MMT/IMPS/534417 780857/SalaryNov 25/HiralalPos/IPOS 0MMT/IMPS/534417 780857/SalaryNov 25/HiralalPos/IPOS 0</t>
  </si>
  <si>
    <t>10/12/2025 BPmt ICICI BANK LTD MMT/IMPS/534417 776602/SalaryNov 25/SonuLothda/IDI B0</t>
  </si>
  <si>
    <t>10/12/2025 BPmt ICICI BANK LTD MMT/IMPS/534417 773470/SalaryNov 25/manoharlab/IDI B0</t>
  </si>
  <si>
    <t>10/12/2025 BPmt ICICI BANK LTD MMT/IMPS/534417 768942/SalaryNov 25/DineshLabo/IDI B0</t>
  </si>
  <si>
    <t>03/12/2025 BPmt ICICI BANK LTD MMT/IMPS/533714 085912/AdvanceD ec25/MunimLabou/ KKBK</t>
  </si>
  <si>
    <t>30/11/2025 BPmt ICICI BANK LTD MMT/IMPS/533422 903092/AdvanceN ov25/SonuLothda/I DIB</t>
  </si>
  <si>
    <t>24/11/2025 BPmt ICICI BANK LTD ALL THE STUFF NOV SALARY ADVANCE</t>
  </si>
  <si>
    <t>22/11/2025 BPmt ICICI BANK LTD INF/NEFT/IN42532 656368859/IDIB00 0R541/AdvanceNo v25</t>
  </si>
  <si>
    <t>21/11/2025 BPmt ICICI BANK LTD S6654873 21-Nov2025 21-Nov-2025 MMT/IMPS/532522 114061/PSIC/PSIC NAVJOT/UTIB0001 820 32400.00 NA 2798945.14</t>
  </si>
  <si>
    <t>21/11/2025 BPmt ICICI BANK LTD MMT/IMPS/532511 762965/SalaryHisa b/SonuLothda/IDIB 0</t>
  </si>
  <si>
    <t>19/11/2025 BPmt ICICI BANK LTD Being labour advance paid for November 2025 via IMPS Ref 532312189113)</t>
  </si>
  <si>
    <t>18/11/2025 BPmt ICICI BANK LTD INF/NEFT/IN42532 254125979/IPOS0 000001/SalaryHisa b</t>
  </si>
  <si>
    <t>17/11/2025 BPmt ICICI BANK LTD MMT/IMPS/532114 884218/SalaryHisa b/PintuHisab/IPOS 0</t>
  </si>
  <si>
    <t>17/11/2025 BPmt ICICI BANK LTD MMT/IMPS/532114 882122/SalaryHisa b/PintuHisa</t>
  </si>
  <si>
    <t>16/11/2025 BPmt ICICI BANK LTD INF/NEFT/IN42532 052817405/IDIB00 0R007/SalaryHisab</t>
  </si>
  <si>
    <t>16/11/2025 BPmt ICICI BANK LTD INF/NEFT/IN42532 052732861/IDIB00 0R541/SalaryHisab</t>
  </si>
  <si>
    <t>04/11/2025 BPmt ICICI BANK LTD All the Stuff Salary</t>
  </si>
  <si>
    <t>04/11/2025 BPmt ICICI BANK LTD MMT/IMPS/530811 477008/SalaryOct2 5/MANOHARLAB/I DIB0</t>
  </si>
  <si>
    <t>26/10/2025 BPmt ICICI BANK LTD MMT/IMPS/529916 686644/MuhartBon us/PINTULOTHA/I DIB0</t>
  </si>
  <si>
    <t>18/10/2025 BPmt ICICI BANK LTD AdvanceO ct25SALARY all the employees.</t>
  </si>
  <si>
    <t>10/10/2025 BPmt ICICI BANK LTD MMT/IMPS/528313 056402/SalarySept 25/pintulabou/BAR B</t>
  </si>
  <si>
    <t>09/10/2025 BPmt ICICI BANK LTD MMT/IMPS/528218 429940/SalarySept 25/PINTULOTHA/I DIB</t>
  </si>
  <si>
    <t>08/10/2025 BPmt ICICI BANK LTD MMT/IMPS/528112 021247/SalarySept 25/PINTULOTHA/I DIB</t>
  </si>
  <si>
    <t>08/10/2025 BPmt ICICI BANK LTD MMT/IMPS/528112 007232/SalarySept 25/SONULOTHDA/ IDIB</t>
  </si>
  <si>
    <t>08/10/2025 BPmt ICICI BANK LTD MMT/IMPS/528112 002941/SalarySept 25/MITHAILOTH/ID IB</t>
  </si>
  <si>
    <t>08/10/2025 BPmt ICICI BANK LTD MMT/IMPS/528112 999757/SalarySept 25/HIRALALPOS/I POS</t>
  </si>
  <si>
    <t>08/10/2025 BPmt ICICI BANK LTD MMT/IMPS/528112 998683/SalarySept 25/BACHCHHRAJ/ IDIB..</t>
  </si>
  <si>
    <t>08/10/2025 BPmt ICICI BANK LTD MMT/IMPS/528112 996342/SalarySept 25/DINESHLABO/I DIB</t>
  </si>
  <si>
    <t>08/10/2025 BPmt ICICI BANK LTD MMT/IMPS/528112 989652/SalarySept 25/VIJAYLOTHD/I DIB</t>
  </si>
  <si>
    <t>08/10/2025 BPmt ICICI BANK LTD MMT/IMPS/528112 987761/SalarySept 25/MANOHARLAB/ IDIB</t>
  </si>
  <si>
    <t>23/09/2025 BPmt ICICI BANK LTD MMT/IMPS/526623 003451/AdvanceSe pt25/MithaiLoth/IDI</t>
  </si>
  <si>
    <t>23/09/2025 BPmt ICICI BANK LTD MMT/IMPS/526623 000379/AdvanceSe pt25/SureshLabo/H DF</t>
  </si>
  <si>
    <t>23/09/2025 BPmt ICICI BANK LTD MMT/IMPS/526620 778646/AdvanceSe pt25/PINTULABOU /BAR</t>
  </si>
  <si>
    <t>23/09/2025 BPmt ICICI BANK LTD MMT/IMPS/526620 770898/AdvanceSe pt25/PINTULOTHA /IDI</t>
  </si>
  <si>
    <t>23/09/2025 BPmt ICICI BANK LTD MMT/IMPS/526620 766054/AdvanceSe pt25/DINESHLABO /ID</t>
  </si>
  <si>
    <t>23/09/2025 BPmt ICICI BANK LTD MMT/IMPS/526620 763641/AdvanceSe pt25/VIJAYL</t>
  </si>
  <si>
    <t>23/09/2025 BPmt ICICI BANK LTD MMT/IMPS/526620 763151/AdvanceSe pt25/MITHAILOTH/ IDI</t>
  </si>
  <si>
    <t>23/09/2025 BPmt ICICI BANK LTD MMT/IMPS/526620 759838/AdvanceSe pt25/MANOHARLA B/IDI</t>
  </si>
  <si>
    <t>23/09/2025 BPmt ICICI BANK LTD MMT/IMPS/526620 757926/AdvanceSe pt25/HIRALALPOS /IPO</t>
  </si>
  <si>
    <t>11/09/2025 BPmt ICICI BANK LTD MMT/IMPS/525416 982868/SalaryAug 25/PINTULOTHA/I DIB0</t>
  </si>
  <si>
    <t>10/09/2025 BPmt ICICI BANK LTD salary</t>
  </si>
  <si>
    <t>10/09/2025 BPmt ICICI BANK LTD MMT/IMPS/525313 422159/SalaryAug 25/MITHAILAN/IDI B00</t>
  </si>
  <si>
    <t>10/09/2025 BPmt ICICI BANK LTD MMT/IMPS/525313 420494/SalaryAug 25/HIRALALPOS/I POS0</t>
  </si>
  <si>
    <t>27/08/2025 BPmt ICICI BANK LTD MMT/IMPS/523913 509709/AdvanceAu g25/VijayLothd/MMT/IMPS/523913 508825/AdvanceAu g25/SonuLothda/ID IB</t>
  </si>
  <si>
    <t>26/08/2025 BPmt ICICI BANK LTD MMT/IMPS/523821 492496/AdvanceAu g25/VijayLothd/IDI B</t>
  </si>
  <si>
    <t>26/08/2025 BPmt ICICI BANK LTD ADVANCE SALARY</t>
  </si>
  <si>
    <t>24/08/2025 BPmt ICICI BANK LTD ADVANCE SALARY</t>
  </si>
  <si>
    <t>23/08/2025 BPmt ICICI BANK LTD ADVANCE SALARY</t>
  </si>
  <si>
    <t>15/08/2025 BPmt ICICI BANK LTD INF/NEFT/ICICN42 025081559358641/ IDIB000R007/Adva nc</t>
  </si>
  <si>
    <t>08/08/2025 BPmt ICICI BANK LTD Being IMPS salary payment for July 2025 to MANOHARLA</t>
  </si>
  <si>
    <t>08/08/2025 BPmt ICICI BANK LTD Being IMPS salary payment for July 2025 to MANOHARLAB</t>
  </si>
  <si>
    <t>24/07/2025 BPmt ICICI BANK LTD Advance</t>
  </si>
  <si>
    <t>23/07/2025 BPmt ICICI BANK LTD AdvanceJu ly25/PINTULOTHA/ IDI</t>
  </si>
  <si>
    <t>11/07/2025 BPmt ICICI BANK LTD Salary</t>
  </si>
  <si>
    <t>10/07/2025 BPmt ICICI BANK LTD SALARY</t>
  </si>
  <si>
    <t>24/06/2025 BPmt ICICI BANK LTD PINTULOTHA</t>
  </si>
  <si>
    <t>18/06/2025 BPmt ICICI BANK LTD PINTULOTHa-salary</t>
  </si>
  <si>
    <t>10/06/2025 BPmt ICICI BANK LTD MITHAILAN</t>
  </si>
  <si>
    <t>24/05/2025 BPmt ICICI BANK LTD</t>
  </si>
  <si>
    <t>23/05/2025 BPmt ICICI BANK LTD</t>
  </si>
  <si>
    <t>10/05/2025 BPmt ICICI BANK LTD PINTU</t>
  </si>
  <si>
    <t>09/05/2025 BPmt ICICI BANK LTD PINTU</t>
  </si>
  <si>
    <t>08/05/2025 BPmt ICICI BANK LTD HIRALAL</t>
  </si>
  <si>
    <t>08/05/2025 BPmt ICICI BANK LTD SALARY-KESHAV</t>
  </si>
  <si>
    <t>24/04/2025 BPmt ICICI BANK LTD HIRALALLA</t>
  </si>
  <si>
    <t>14/04/2025 BPmt ICICI BANK LTD HIRALA LLAB</t>
  </si>
  <si>
    <t>12/04/2025 BPmt ICICI BANK LTD PINTUL</t>
  </si>
  <si>
    <t>12/04/2025 BPmt ICICI BANK LTD MANO HARLAB</t>
  </si>
  <si>
    <t>12/04/2025 BPmt ICICI BANK LTD HIRALA LLAB</t>
  </si>
  <si>
    <t>12/04/2025 BPmt ICICI BANK LTD KESHA VLABO</t>
  </si>
  <si>
    <t>MANOHARLAB</t>
  </si>
  <si>
    <t>VijayLothd</t>
  </si>
  <si>
    <t>DINESHLABO</t>
  </si>
  <si>
    <t>23/09/2025 BPmt ICICI BANK LTD MMT/IMPS/526620 758884/AdvanceSe pt25/SONULOTHDA/IDI</t>
  </si>
  <si>
    <t>SONULOTHDA</t>
  </si>
  <si>
    <t>VijayLothd/SONULOTHDA</t>
  </si>
  <si>
    <t>Suresh</t>
  </si>
  <si>
    <t>BACHCHHRAJ</t>
  </si>
  <si>
    <t>No Idea</t>
  </si>
  <si>
    <t>NankeLabou</t>
  </si>
  <si>
    <t xml:space="preserve">RAMDALLAB </t>
  </si>
  <si>
    <t>MadhuLabou</t>
  </si>
  <si>
    <t>MunimLabou</t>
  </si>
  <si>
    <t>07/06/2025 BPmt ICICI BANK LTD INF/NEFT/ICICN42
025060750944246/
IDIB000R007/Salar
y</t>
  </si>
  <si>
    <t>07/06/2025 BPmt ICICI BANK LTD  INF/NEFT/ICICN42
025060750946579/
IDIB000I512/Salary</t>
  </si>
  <si>
    <t>09/06/2025 BPmt ICICI BANK LTD INF/NEFT/ICICN42
025060954678524/
IDIB000R007/Salar
y</t>
  </si>
  <si>
    <t>24/06/2025 BPmt ICICI BANK LTD  INF/NEFT/ICICN42
025062455096118/
IDIB000D608/Adva
nc</t>
  </si>
  <si>
    <t>24/06/2025 BPmt ICICI BANK LTD INF/NEFT/ICICN42
025062455096118/
IDIB000D608/Adva
nc</t>
  </si>
  <si>
    <t>24/06/2025 BPmt ICICI BANK LTD INF/NEFT/ICICN42
025062455099492/
IDIB000D608/Adva
nc</t>
  </si>
  <si>
    <t>10/07/2025 BPmt ICICI BANK LTD  INF/NEFT/ICICN42
025071059496941/
IPOS0000001/Sala
ry</t>
  </si>
  <si>
    <t>10/07/2025 BPmt ICICI BANK LTD INF/NEFT/ICICN42
025071059497551/
IDIB000D608/Salar
y</t>
  </si>
  <si>
    <t>10/07/2025 BPmt ICICI BANK LTD INF/NEFT/ICICN42
025071059498896/
IDIB000R007/Salar
y</t>
  </si>
  <si>
    <t>23/07/2025 BPmt ICICI BANK LTD  MMT/IMPS/520408
354362/AdvanceJu
ly25/MANOHARLA
B/IDI</t>
  </si>
  <si>
    <t>23/07/2025 BPmt ICICI BANK LTD MMT/IMPS/520408
355805/AdvanceJu
ly25/MITHAILAN/ID
IB</t>
  </si>
  <si>
    <t>23/07/2025 BPmt ICICI BANK LTD MMT/IMPS/520408
356998/AdvanceJu
ly25/HIRALALPOS/
IPO</t>
  </si>
  <si>
    <t>23/07/2025 BPmt ICICI BANK LTD INF/NEFT/ICICN42
025072358767215/
IDIB000D608/Salar
y</t>
  </si>
  <si>
    <t>employer NAME</t>
  </si>
  <si>
    <t>Row Labels</t>
  </si>
  <si>
    <t>Sum of Debit</t>
  </si>
  <si>
    <t>Grand Total</t>
  </si>
  <si>
    <t>Purchase</t>
  </si>
  <si>
    <t>Date</t>
  </si>
  <si>
    <t>Bill Date</t>
  </si>
  <si>
    <t>Bill No</t>
  </si>
  <si>
    <t>C/D</t>
  </si>
  <si>
    <t>Party Name</t>
  </si>
  <si>
    <t>Product Name</t>
  </si>
  <si>
    <t>Product Qty</t>
  </si>
  <si>
    <t>25013</t>
  </si>
  <si>
    <t>NORTH AMERICAN ENERGY LLC</t>
  </si>
  <si>
    <t>CAST IRON SCRAP</t>
  </si>
  <si>
    <t>25030</t>
  </si>
  <si>
    <t>25013A</t>
  </si>
  <si>
    <t>25093</t>
  </si>
  <si>
    <t>25088</t>
  </si>
  <si>
    <t>25101</t>
  </si>
  <si>
    <t>25108</t>
  </si>
  <si>
    <t>25116</t>
  </si>
  <si>
    <t>25117</t>
  </si>
  <si>
    <t>25118</t>
  </si>
  <si>
    <t>25119</t>
  </si>
  <si>
    <t>25133</t>
  </si>
  <si>
    <t>25139</t>
  </si>
  <si>
    <t>25148</t>
  </si>
  <si>
    <t>25157</t>
  </si>
  <si>
    <t>GST-434</t>
  </si>
  <si>
    <t>Mahavir Steel</t>
  </si>
  <si>
    <t>WASTE &amp; SCRAPE - MS &amp; CAST IRON</t>
  </si>
  <si>
    <t>IE/268/25-26</t>
  </si>
  <si>
    <t>Iqra Enterprise</t>
  </si>
  <si>
    <t>M S C I G I SCRAP OF IRON &amp; STEEL</t>
  </si>
  <si>
    <t>HS/2025-26/341</t>
  </si>
  <si>
    <t>Trifecta Metals And Alloys</t>
  </si>
  <si>
    <t>CAST IRON HEAVY MELTING SCRAP</t>
  </si>
  <si>
    <t>GT/189</t>
  </si>
  <si>
    <t>Jalaram Traders</t>
  </si>
  <si>
    <t>RJT/25-26/318</t>
  </si>
  <si>
    <t>S Poddar International (india) Private Limited</t>
  </si>
  <si>
    <t>RJT/25-26/319</t>
  </si>
  <si>
    <t>GT 53</t>
  </si>
  <si>
    <t>JK IMPEX</t>
  </si>
  <si>
    <t>GT/195</t>
  </si>
  <si>
    <t>RJT/25-26/332</t>
  </si>
  <si>
    <t>RJT/25-26/333</t>
  </si>
  <si>
    <t>Product Qty (KGs)</t>
  </si>
  <si>
    <t>Sales</t>
  </si>
  <si>
    <t>Kiason Metal Cast Llp</t>
  </si>
  <si>
    <t>Kiason Metal Cast Private Limited</t>
  </si>
  <si>
    <t>Madhav Enterprise</t>
  </si>
  <si>
    <t>Mahadev Precision Cast Private Limited</t>
  </si>
  <si>
    <t>Prushti Technocast</t>
  </si>
  <si>
    <t>Brahmani Technocast</t>
  </si>
  <si>
    <t>Micro Metal</t>
  </si>
  <si>
    <t>Megastic Technocast</t>
  </si>
  <si>
    <t>Farmer Diesel Spares</t>
  </si>
  <si>
    <t>Nk Impex</t>
  </si>
  <si>
    <t>Varudi Krupa Foundry</t>
  </si>
  <si>
    <t>Vivek Engineering Works</t>
  </si>
  <si>
    <t>Krupa Metal</t>
  </si>
  <si>
    <t>Neelam Engineers</t>
  </si>
  <si>
    <t>Mahi Metal</t>
  </si>
  <si>
    <t>Jay Ashapura Traders</t>
  </si>
  <si>
    <t>Revolving TechnoCast</t>
  </si>
  <si>
    <t>Metalix Ferrocast</t>
  </si>
  <si>
    <t>Kesar Technocast</t>
  </si>
  <si>
    <t>Shree Raj Castech Private Limited</t>
  </si>
  <si>
    <t>Asian Casting</t>
  </si>
  <si>
    <t>CAST IRON (COUNTER WEIGHT SCRAP)</t>
  </si>
  <si>
    <t>CAST IRON SCRAP (BHOOKKI)</t>
  </si>
  <si>
    <t>CAST IRON (OVERSIZED SCRAP)</t>
  </si>
  <si>
    <t xml:space="preserve"> CAST IRON (Machinery scrap )</t>
  </si>
  <si>
    <t>Cast iron (Rotor-Drum/DiskBreak scrap)</t>
  </si>
  <si>
    <t>Cast Iron (Motor Body Scrap)</t>
  </si>
  <si>
    <t>PSPL/01/2025-26</t>
  </si>
  <si>
    <t>PSPL/02/2025-26</t>
  </si>
  <si>
    <t>PSPL/03/2025-26</t>
  </si>
  <si>
    <t>PSPL/04/2025-26</t>
  </si>
  <si>
    <t>PSPL/05/2025-26</t>
  </si>
  <si>
    <t>PSPL/06/2025-26</t>
  </si>
  <si>
    <t>PSPL/07/2025-26</t>
  </si>
  <si>
    <t>PSPL/08/2025-26</t>
  </si>
  <si>
    <t>PSPL/09/2025-26</t>
  </si>
  <si>
    <t>PSPL/10/2025-26</t>
  </si>
  <si>
    <t>PSPL/11/2025-26</t>
  </si>
  <si>
    <t>PSPL/12/2025-26</t>
  </si>
  <si>
    <t>PSPL/13/2025-26</t>
  </si>
  <si>
    <t>PSPL/14/2025-26</t>
  </si>
  <si>
    <t>PSPL/15/2025-26</t>
  </si>
  <si>
    <t>PSPL/16/2025-26</t>
  </si>
  <si>
    <t>PSPL/17/2025-26</t>
  </si>
  <si>
    <t>PSPL/18/2025-26</t>
  </si>
  <si>
    <t>PSPL/19/2025-26</t>
  </si>
  <si>
    <t>PSPL/20/2025-26</t>
  </si>
  <si>
    <t>PSPL/21/2025-26</t>
  </si>
  <si>
    <t>PSPL/22/2025-26</t>
  </si>
  <si>
    <t>PSPL/23/2025-26</t>
  </si>
  <si>
    <t>PSPL/24/2025-26</t>
  </si>
  <si>
    <t>PSPL/25/2025-26</t>
  </si>
  <si>
    <t>PSPL/26/2025-26</t>
  </si>
  <si>
    <t>PSPL/27/2025-26</t>
  </si>
  <si>
    <t>PSPL/28/2025-26</t>
  </si>
  <si>
    <t>PSPL/29/2025-26</t>
  </si>
  <si>
    <t>PSPL/30/2025-26</t>
  </si>
  <si>
    <t>PSPL/31/2025-26</t>
  </si>
  <si>
    <t>PSPL/32/2025-26</t>
  </si>
  <si>
    <t>PSPL/33/2025-26</t>
  </si>
  <si>
    <t>PSPL/34/2025-26</t>
  </si>
  <si>
    <t>PSPL/35/2025-26</t>
  </si>
  <si>
    <t>PSPL/36/2025-26</t>
  </si>
  <si>
    <t>PSPL/37/2025-26</t>
  </si>
  <si>
    <t>PSPL/38/2025-26</t>
  </si>
  <si>
    <t>PSPL/39/2025-26</t>
  </si>
  <si>
    <t>PSPL/40/2025-26</t>
  </si>
  <si>
    <t>PSPL/41/2025-26</t>
  </si>
  <si>
    <t>PSPL/42/2025-26</t>
  </si>
  <si>
    <t>PSPL/43/2025-26</t>
  </si>
  <si>
    <t>PSPL/44/2025-26</t>
  </si>
  <si>
    <t>PSPL/45/2025-26</t>
  </si>
  <si>
    <t>PSPL/46/2025-26</t>
  </si>
  <si>
    <t>PSPL/47/2025-26</t>
  </si>
  <si>
    <t>PSPL/48/2025-26</t>
  </si>
  <si>
    <t>PSPL/49/2025-26</t>
  </si>
  <si>
    <t>PSPL/50/2025-26</t>
  </si>
  <si>
    <t>PSPL/51/2025-26</t>
  </si>
  <si>
    <t>PSPL/52/2025-26</t>
  </si>
  <si>
    <t>PSPL/53/2025-26</t>
  </si>
  <si>
    <t>PSPL/54/2025-26</t>
  </si>
  <si>
    <t>PSPL/55/2025-26</t>
  </si>
  <si>
    <t>PSPL/56/2025-26</t>
  </si>
  <si>
    <t>PSPL/57/2025-26</t>
  </si>
  <si>
    <t>PSPL/58/2025-26</t>
  </si>
  <si>
    <t>PSPL/59/2025-26</t>
  </si>
  <si>
    <t>PSPL/60A/2025-26</t>
  </si>
  <si>
    <t>PSPL/61/2025-26</t>
  </si>
  <si>
    <t>PSPL/62/2025-26</t>
  </si>
  <si>
    <t>PSPL/63/2025-26</t>
  </si>
  <si>
    <t>PSPL/64/2025-26</t>
  </si>
  <si>
    <t>PSPL/65/2025-26</t>
  </si>
  <si>
    <t>PSPL/66/2025-26</t>
  </si>
  <si>
    <t>PSPL/67/2025-26</t>
  </si>
  <si>
    <t>PSPL/68/2025-26</t>
  </si>
  <si>
    <t>PSPL/69/2025-26</t>
  </si>
  <si>
    <t>PSPL/70/2025-26</t>
  </si>
  <si>
    <t>PSPL/71/2025-26</t>
  </si>
  <si>
    <t>PSPL/72/2025-26</t>
  </si>
  <si>
    <t>PSPL/73/2025-26</t>
  </si>
  <si>
    <t>PSPL/74/2025-26</t>
  </si>
  <si>
    <t>PSPL/75/2025-26</t>
  </si>
  <si>
    <t>PSPL/76/2025-26</t>
  </si>
  <si>
    <t>PSPL/77/2025-26</t>
  </si>
  <si>
    <t>PSPL/78/2025-26</t>
  </si>
  <si>
    <t>PSPL/79/2025-26</t>
  </si>
  <si>
    <t>PSPL/80/2025-26</t>
  </si>
  <si>
    <t>PSPL/81/2025-26</t>
  </si>
  <si>
    <t>PSPL/82/2025-26</t>
  </si>
  <si>
    <t>PSPL/83/2025-26</t>
  </si>
  <si>
    <t>PSPL/84/2025-26</t>
  </si>
  <si>
    <t>PSPL/85/2025-26</t>
  </si>
  <si>
    <t>PSPL/86/2025-26</t>
  </si>
  <si>
    <t>PSPL/87/2025-26</t>
  </si>
  <si>
    <t>PSPL/88/2025-26</t>
  </si>
  <si>
    <t>PSPL/89/2025-26</t>
  </si>
  <si>
    <t>PSPL/90/2025-26</t>
  </si>
  <si>
    <t>PSPL/91/2025-26</t>
  </si>
  <si>
    <t>PSPL/92/2025-26</t>
  </si>
  <si>
    <t>PSPL/93/2025-26</t>
  </si>
  <si>
    <t xml:space="preserve">   SR-1</t>
  </si>
  <si>
    <t>PSPL/94/2025-26</t>
  </si>
  <si>
    <t>PSPL/95/2025-26</t>
  </si>
  <si>
    <t>PSPL/96/2025-26</t>
  </si>
  <si>
    <t>PSPL/97/2025-26</t>
  </si>
  <si>
    <t>PSPL/98/2025-26</t>
  </si>
  <si>
    <t>PSPL/99/2025-26</t>
  </si>
  <si>
    <t>PSPL/100/2025-26</t>
  </si>
  <si>
    <t>PSPL/101/2025-26</t>
  </si>
  <si>
    <t>PSPL/102/2025-26</t>
  </si>
  <si>
    <t>PSPL/103/2025-26</t>
  </si>
  <si>
    <t>PSPL/104/2025-26</t>
  </si>
  <si>
    <t>PSPL/105/2025-26</t>
  </si>
  <si>
    <t>PSPL/106/2025-26</t>
  </si>
  <si>
    <t>PSPL/107/2025-26</t>
  </si>
  <si>
    <t>PSPL/108/2025-26</t>
  </si>
  <si>
    <t>PSPL/109/2025-26</t>
  </si>
  <si>
    <t>PSPL/110/2025-26</t>
  </si>
  <si>
    <t>PSPL/111/2025-26</t>
  </si>
  <si>
    <t>PSPL/112/2025-26</t>
  </si>
  <si>
    <t>PSPL/113/2025-26</t>
  </si>
  <si>
    <t>PSPL/114/2025-26</t>
  </si>
  <si>
    <t>PSPL/115/2025-26</t>
  </si>
  <si>
    <t>PSPL/116/2025-26</t>
  </si>
  <si>
    <t>PSPL/117/2025-26</t>
  </si>
  <si>
    <t>PSPL/118/2025-26</t>
  </si>
  <si>
    <t>PSPL/119/2025-26</t>
  </si>
  <si>
    <t>PSPL/120/2025-26</t>
  </si>
  <si>
    <t>PSPL/121/2025-26</t>
  </si>
  <si>
    <t>PSPL/122/2025-26</t>
  </si>
  <si>
    <t>PSPL/123/2025-26</t>
  </si>
  <si>
    <t>PSPL/124/2025-26</t>
  </si>
  <si>
    <t>PSPL/125/2025-26</t>
  </si>
  <si>
    <t>PSPL/126/2025-26</t>
  </si>
  <si>
    <t>PSPL/127/2025-26</t>
  </si>
  <si>
    <t>PSPL/128/2025-26</t>
  </si>
  <si>
    <t>PSPL/129/2025-26</t>
  </si>
  <si>
    <t>PSPL/130/2025-26</t>
  </si>
  <si>
    <t>PSPL/131/2025-26</t>
  </si>
  <si>
    <t>PSPL/132/2025-26</t>
  </si>
  <si>
    <t>PSPL/133/2025-26</t>
  </si>
  <si>
    <t>PSPL/134/2025-26</t>
  </si>
  <si>
    <t>PSPL/135/2025-26</t>
  </si>
  <si>
    <t>PSPL/136/2025-26</t>
  </si>
  <si>
    <t>PSPL/137/2025-26</t>
  </si>
  <si>
    <t>PSPL/138/2025-26</t>
  </si>
  <si>
    <t>PSPL/139/2025-26</t>
  </si>
  <si>
    <t>PSPL/140/2025-26</t>
  </si>
  <si>
    <t>PSPL/141/2025-26</t>
  </si>
  <si>
    <t>PSPL/142/2025-26</t>
  </si>
  <si>
    <t>PSPL/143/2025-26</t>
  </si>
  <si>
    <t>PSPL/144/2025-26</t>
  </si>
  <si>
    <t>PSPL/145/2025-26</t>
  </si>
  <si>
    <t>PSPL/146/2025-26</t>
  </si>
  <si>
    <t>PSPL/147/2025-26</t>
  </si>
  <si>
    <t>PSPL/148/2025-26</t>
  </si>
  <si>
    <t>Opening Bal.</t>
  </si>
  <si>
    <t>Closing</t>
  </si>
  <si>
    <t>Sales Return</t>
  </si>
  <si>
    <t>Purchase Return</t>
  </si>
  <si>
    <t>Month</t>
  </si>
  <si>
    <t>Column Labels</t>
  </si>
  <si>
    <t>April 2025</t>
  </si>
  <si>
    <t>August 2025</t>
  </si>
  <si>
    <t>December 2025</t>
  </si>
  <si>
    <t>February 2026</t>
  </si>
  <si>
    <t>January 2026</t>
  </si>
  <si>
    <t>July 2025</t>
  </si>
  <si>
    <t>June 2025</t>
  </si>
  <si>
    <t>March 2026</t>
  </si>
  <si>
    <t>May 2025</t>
  </si>
  <si>
    <t>November 2025</t>
  </si>
  <si>
    <t>October 2025</t>
  </si>
  <si>
    <t>September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</si>
</sst>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b/>
      <sz val="8"/>
      <color theme="1"/>
      <name val="Verdana"/>
      <family val="2"/>
    </font>
    <font>
      <sz val="11"/>
      <color rgb="FFFF0000"/>
      <name val="Aptos Narrow"/>
      <family val="2"/>
      <scheme val="minor"/>
    </font>
    <font>
      <sz val="11"/>
      <color theme="1"/>
      <name val="Verdana"/>
      <family val="2"/>
    </font>
    <font>
      <sz val="8"/>
      <color rgb="FFFF0000"/>
      <name val="Verdana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1C1C1"/>
        <bgColor indexed="64"/>
      </patternFill>
    </fill>
    <fill>
      <patternFill patternType="solid">
        <fgColor rgb="FFB7DBFF"/>
        <bgColor indexed="64"/>
      </patternFill>
    </fill>
  </fills>
  <borders count="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right" vertical="center"/>
    </xf>
    <xf numFmtId="49" fontId="1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2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left"/>
    </xf>
    <xf numFmtId="49" fontId="4" fillId="2" borderId="2" xfId="0" applyNumberFormat="1" applyFont="1" applyFill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9" fontId="4" fillId="2" borderId="2" xfId="0" applyNumberFormat="1" applyFont="1" applyFill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2" fontId="4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pivotButton="1"/>
    <xf numFmtId="2" fontId="0" fillId="0" borderId="0" xfId="0" applyNumberFormat="1"/>
    <xf numFmtId="14" fontId="4" fillId="2" borderId="2" xfId="0" applyNumberFormat="1" applyFont="1" applyFill="1" applyBorder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14" fontId="0" fillId="0" borderId="0" xfId="0" applyNumberFormat="1"/>
    <xf numFmtId="49" fontId="2" fillId="3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horizontal="righ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right" vertical="center"/>
    </xf>
    <xf numFmtId="165" fontId="0" fillId="0" borderId="0" xfId="0" applyNumberFormat="1"/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9" formatCode="dd/mm/yyyy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2" formatCode="0.00"/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9" formatCode="dd/mm/yyyy"/>
      <alignment horizontal="left" vertical="top" textRotation="0" wrapText="0" indent="0" justifyLastLine="0" shrinkToFit="0" readingOrder="0"/>
    </dxf>
    <dxf>
      <border outline="0">
        <top style="hair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1"/>
      </font>
      <alignment horizontal="left" vertical="top" textRotation="0" indent="0" justifyLastLine="0" shrinkToFit="0" readingOrder="0"/>
    </dxf>
    <dxf>
      <border outline="0"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</font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0.689636921299" createdVersion="8" refreshedVersion="8" minRefreshableVersion="3" recordCount="141" xr:uid="{82BEB3A3-B7B4-4F5E-A5E2-B16DD4983AFB}">
  <cacheSource type="worksheet">
    <worksheetSource name="Table1"/>
  </cacheSource>
  <cacheFields count="5">
    <cacheField name="Date" numFmtId="14">
      <sharedItems containsSemiMixedTypes="0" containsNonDate="0" containsDate="1" containsString="0" minDate="2025-04-12T00:00:00" maxDate="2026-03-24T00:00:00"/>
    </cacheField>
    <cacheField name="Month" numFmtId="14">
      <sharedItems count="12">
        <s v="April 2025"/>
        <s v="May 2025"/>
        <s v="June 2025"/>
        <s v="July 2025"/>
        <s v="August 2025"/>
        <s v="September 2025"/>
        <s v="October 2025"/>
        <s v="November 2025"/>
        <s v="December 2025"/>
        <s v="January 2026"/>
        <s v="February 2026"/>
        <s v="March 2026"/>
      </sharedItems>
    </cacheField>
    <cacheField name="Particulars" numFmtId="49">
      <sharedItems/>
    </cacheField>
    <cacheField name="Debit" numFmtId="2">
      <sharedItems containsSemiMixedTypes="0" containsString="0" containsNumber="1" containsInteger="1" minValue="500" maxValue="82575"/>
    </cacheField>
    <cacheField name="employer NAME" numFmtId="0">
      <sharedItems count="17">
        <s v="KESHA VLABO"/>
        <s v="HIRALAL"/>
        <s v="MANOHARLAB"/>
        <s v="PINTU"/>
        <s v="SALARY"/>
        <s v="MITHAILAN"/>
        <s v="VijayLothd"/>
        <s v="VijayLothd/SONULOTHDA"/>
        <s v="SONULOTHDA"/>
        <s v="DINESHLABO"/>
        <s v="Suresh"/>
        <s v="BACHCHHRAJ"/>
        <s v="No Idea"/>
        <s v="MunimLabou"/>
        <s v="NankeLabou"/>
        <s v="RAMDALLAB "/>
        <s v="MadhuLabou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d v="2025-04-12T00:00:00"/>
    <x v="0"/>
    <s v="12/04/2025 BPmt ICICI BANK LTD KESHA VLABO"/>
    <n v="20000"/>
    <x v="0"/>
  </r>
  <r>
    <d v="2025-04-12T00:00:00"/>
    <x v="0"/>
    <s v="12/04/2025 BPmt ICICI BANK LTD HIRALA LLAB"/>
    <n v="8000"/>
    <x v="1"/>
  </r>
  <r>
    <d v="2025-04-12T00:00:00"/>
    <x v="0"/>
    <s v="12/04/2025 BPmt ICICI BANK LTD MANO HARLAB"/>
    <n v="9200"/>
    <x v="2"/>
  </r>
  <r>
    <d v="2025-04-12T00:00:00"/>
    <x v="0"/>
    <s v="12/04/2025 BPmt ICICI BANK LTD PINTUL"/>
    <n v="20000"/>
    <x v="3"/>
  </r>
  <r>
    <d v="2025-04-14T00:00:00"/>
    <x v="0"/>
    <s v="14/04/2025 BPmt ICICI BANK LTD HIRALA LLAB"/>
    <n v="2000"/>
    <x v="1"/>
  </r>
  <r>
    <d v="2025-04-24T00:00:00"/>
    <x v="0"/>
    <s v="24/04/2025 BPmt ICICI BANK LTD HIRALALLA"/>
    <n v="21000"/>
    <x v="1"/>
  </r>
  <r>
    <d v="2025-05-08T00:00:00"/>
    <x v="1"/>
    <s v="08/05/2025 BPmt ICICI BANK LTD SALARY-KESHAV"/>
    <n v="20000"/>
    <x v="0"/>
  </r>
  <r>
    <d v="2025-05-08T00:00:00"/>
    <x v="1"/>
    <s v="08/05/2025 BPmt ICICI BANK LTD HIRALAL"/>
    <n v="20000"/>
    <x v="1"/>
  </r>
  <r>
    <d v="2025-05-09T00:00:00"/>
    <x v="1"/>
    <s v="09/05/2025 BPmt ICICI BANK LTD PINTU"/>
    <n v="500"/>
    <x v="3"/>
  </r>
  <r>
    <d v="2025-05-10T00:00:00"/>
    <x v="1"/>
    <s v="10/05/2025 BPmt ICICI BANK LTD PINTU"/>
    <n v="24500"/>
    <x v="3"/>
  </r>
  <r>
    <d v="2025-05-23T00:00:00"/>
    <x v="1"/>
    <s v="23/05/2025 BPmt ICICI BANK LTD"/>
    <n v="10400"/>
    <x v="4"/>
  </r>
  <r>
    <d v="2025-05-23T00:00:00"/>
    <x v="1"/>
    <s v="23/05/2025 BPmt ICICI BANK LTD"/>
    <n v="10000"/>
    <x v="4"/>
  </r>
  <r>
    <d v="2025-05-24T00:00:00"/>
    <x v="1"/>
    <s v="24/05/2025 BPmt ICICI BANK LTD"/>
    <n v="4000"/>
    <x v="4"/>
  </r>
  <r>
    <d v="2025-06-07T00:00:00"/>
    <x v="2"/>
    <s v="07/06/2025 BPmt ICICI BANK LTD INF/NEFT/ICICN42_x000a_025060750944246/_x000a_IDIB000R007/Salar_x000a_y"/>
    <n v="30000"/>
    <x v="4"/>
  </r>
  <r>
    <d v="2025-06-07T00:00:00"/>
    <x v="2"/>
    <s v="07/06/2025 BPmt ICICI BANK LTD  INF/NEFT/ICICN42_x000a_025060750946579/_x000a_IDIB000I512/Salary"/>
    <n v="20000"/>
    <x v="4"/>
  </r>
  <r>
    <d v="2025-06-09T00:00:00"/>
    <x v="2"/>
    <s v="09/06/2025 BPmt ICICI BANK LTD INF/NEFT/ICICN42_x000a_025060954678524/_x000a_IDIB000R007/Salar_x000a_y"/>
    <n v="6850"/>
    <x v="4"/>
  </r>
  <r>
    <d v="2025-06-10T00:00:00"/>
    <x v="2"/>
    <s v="10/06/2025 BPmt ICICI BANK LTD MITHAILAN"/>
    <n v="10000"/>
    <x v="5"/>
  </r>
  <r>
    <d v="2025-06-18T00:00:00"/>
    <x v="2"/>
    <s v="18/06/2025 BPmt ICICI BANK LTD PINTULOTHa-salary"/>
    <n v="3000"/>
    <x v="3"/>
  </r>
  <r>
    <d v="2025-06-24T00:00:00"/>
    <x v="2"/>
    <s v="24/06/2025 BPmt ICICI BANK LTD  INF/NEFT/ICICN42_x000a_025062455096118/_x000a_IDIB000D608/Adva_x000a_nc"/>
    <n v="3000"/>
    <x v="4"/>
  </r>
  <r>
    <d v="2025-06-24T00:00:00"/>
    <x v="2"/>
    <s v="24/06/2025 BPmt ICICI BANK LTD INF/NEFT/ICICN42_x000a_025062455096118/_x000a_IDIB000D608/Adva_x000a_nc"/>
    <n v="14000"/>
    <x v="4"/>
  </r>
  <r>
    <d v="2025-06-24T00:00:00"/>
    <x v="2"/>
    <s v="24/06/2025 BPmt ICICI BANK LTD INF/NEFT/ICICN42_x000a_025062455099492/_x000a_IDIB000D608/Adva_x000a_nc"/>
    <n v="8000"/>
    <x v="4"/>
  </r>
  <r>
    <d v="2025-06-24T00:00:00"/>
    <x v="2"/>
    <s v="24/06/2025 BPmt ICICI BANK LTD PINTULOTHA"/>
    <n v="20500"/>
    <x v="3"/>
  </r>
  <r>
    <d v="2025-07-10T00:00:00"/>
    <x v="3"/>
    <s v="10/07/2025 BPmt ICICI BANK LTD SALARY"/>
    <n v="18400"/>
    <x v="4"/>
  </r>
  <r>
    <d v="2025-07-10T00:00:00"/>
    <x v="3"/>
    <s v="10/07/2025 BPmt ICICI BANK LTD  INF/NEFT/ICICN42_x000a_025071059496941/_x000a_IPOS0000001/Sala_x000a_ry"/>
    <n v="8450"/>
    <x v="4"/>
  </r>
  <r>
    <d v="2025-07-10T00:00:00"/>
    <x v="3"/>
    <s v="10/07/2025 BPmt ICICI BANK LTD INF/NEFT/ICICN42_x000a_025071059497551/_x000a_IDIB000D608/Salar_x000a_y"/>
    <n v="10000"/>
    <x v="4"/>
  </r>
  <r>
    <d v="2025-07-10T00:00:00"/>
    <x v="3"/>
    <s v="10/07/2025 BPmt ICICI BANK LTD INF/NEFT/ICICN42_x000a_025071059498896/_x000a_IDIB000R007/Salar_x000a_y"/>
    <n v="17925"/>
    <x v="4"/>
  </r>
  <r>
    <d v="2025-07-11T00:00:00"/>
    <x v="3"/>
    <s v="11/07/2025 BPmt ICICI BANK LTD Salary"/>
    <n v="9775"/>
    <x v="4"/>
  </r>
  <r>
    <d v="2025-07-23T00:00:00"/>
    <x v="3"/>
    <s v="23/07/2025 BPmt ICICI BANK LTD  MMT/IMPS/520408_x000a_354362/AdvanceJu_x000a_ly25/MANOHARLA_x000a_B/IDI"/>
    <n v="10000"/>
    <x v="2"/>
  </r>
  <r>
    <d v="2025-07-23T00:00:00"/>
    <x v="3"/>
    <s v="23/07/2025 BPmt ICICI BANK LTD MMT/IMPS/520408_x000a_355805/AdvanceJu_x000a_ly25/MITHAILAN/ID_x000a_IB"/>
    <n v="5000"/>
    <x v="5"/>
  </r>
  <r>
    <d v="2025-07-23T00:00:00"/>
    <x v="3"/>
    <s v="23/07/2025 BPmt ICICI BANK LTD MMT/IMPS/520408_x000a_356998/AdvanceJu_x000a_ly25/HIRALALPOS/_x000a_IPO"/>
    <n v="5000"/>
    <x v="1"/>
  </r>
  <r>
    <d v="2025-07-23T00:00:00"/>
    <x v="3"/>
    <s v="23/07/2025 BPmt ICICI BANK LTD INF/NEFT/ICICN42_x000a_025072358767215/_x000a_IDIB000D608/Salar_x000a_y"/>
    <n v="4125"/>
    <x v="4"/>
  </r>
  <r>
    <d v="2025-07-23T00:00:00"/>
    <x v="3"/>
    <s v="23/07/2025 BPmt ICICI BANK LTD AdvanceJu ly25/PINTULOTHA/ IDI"/>
    <n v="20000"/>
    <x v="3"/>
  </r>
  <r>
    <d v="2025-07-24T00:00:00"/>
    <x v="3"/>
    <s v="24/07/2025 BPmt ICICI BANK LTD Advance"/>
    <n v="5000"/>
    <x v="4"/>
  </r>
  <r>
    <d v="2025-08-08T00:00:00"/>
    <x v="4"/>
    <s v="08/08/2025 BPmt ICICI BANK LTD Being IMPS salary payment for July 2025 to MANOHARLAB"/>
    <n v="13200"/>
    <x v="2"/>
  </r>
  <r>
    <d v="2025-08-08T00:00:00"/>
    <x v="4"/>
    <s v="08/08/2025 BPmt ICICI BANK LTD Being IMPS salary payment for July 2025 to MANOHARLA"/>
    <n v="60975"/>
    <x v="2"/>
  </r>
  <r>
    <d v="2025-08-15T00:00:00"/>
    <x v="4"/>
    <s v="15/08/2025 BPmt ICICI BANK LTD INF/NEFT/ICICN42 025081559358641/ IDIB000R007/Adva nc"/>
    <n v="10000"/>
    <x v="4"/>
  </r>
  <r>
    <d v="2025-08-23T00:00:00"/>
    <x v="4"/>
    <s v="23/08/2025 BPmt ICICI BANK LTD ADVANCE SALARY"/>
    <n v="10000"/>
    <x v="4"/>
  </r>
  <r>
    <d v="2025-08-24T00:00:00"/>
    <x v="4"/>
    <s v="24/08/2025 BPmt ICICI BANK LTD ADVANCE SALARY"/>
    <n v="10000"/>
    <x v="4"/>
  </r>
  <r>
    <d v="2025-08-26T00:00:00"/>
    <x v="4"/>
    <s v="26/08/2025 BPmt ICICI BANK LTD ADVANCE SALARY"/>
    <n v="10000"/>
    <x v="4"/>
  </r>
  <r>
    <d v="2025-08-26T00:00:00"/>
    <x v="4"/>
    <s v="26/08/2025 BPmt ICICI BANK LTD MMT/IMPS/523821 492496/AdvanceAu g25/VijayLothd/IDI B"/>
    <n v="10000"/>
    <x v="6"/>
  </r>
  <r>
    <d v="2025-08-27T00:00:00"/>
    <x v="4"/>
    <s v="27/08/2025 BPmt ICICI BANK LTD MMT/IMPS/523913 509709/AdvanceAu g25/VijayLothd/MMT/IMPS/523913 508825/AdvanceAu g25/SonuLothda/ID IB"/>
    <n v="7000"/>
    <x v="7"/>
  </r>
  <r>
    <d v="2025-09-10T00:00:00"/>
    <x v="5"/>
    <s v="10/09/2025 BPmt ICICI BANK LTD MMT/IMPS/525313 420494/SalaryAug 25/HIRALALPOS/I POS0"/>
    <n v="13000"/>
    <x v="1"/>
  </r>
  <r>
    <d v="2025-09-10T00:00:00"/>
    <x v="5"/>
    <s v="10/09/2025 BPmt ICICI BANK LTD MMT/IMPS/525313 422159/SalaryAug 25/MITHAILAN/IDI B00"/>
    <n v="12500"/>
    <x v="5"/>
  </r>
  <r>
    <d v="2025-09-10T00:00:00"/>
    <x v="5"/>
    <s v="10/09/2025 BPmt ICICI BANK LTD salary"/>
    <n v="61100"/>
    <x v="4"/>
  </r>
  <r>
    <d v="2025-09-11T00:00:00"/>
    <x v="5"/>
    <s v="11/09/2025 BPmt ICICI BANK LTD MMT/IMPS/525416 982868/SalaryAug 25/PINTULOTHA/I DIB0"/>
    <n v="20000"/>
    <x v="3"/>
  </r>
  <r>
    <d v="2025-09-23T00:00:00"/>
    <x v="5"/>
    <s v="23/09/2025 BPmt ICICI BANK LTD MMT/IMPS/526620 757926/AdvanceSe pt25/HIRALALPOS /IPO"/>
    <n v="5000"/>
    <x v="1"/>
  </r>
  <r>
    <d v="2025-09-23T00:00:00"/>
    <x v="5"/>
    <s v="23/09/2025 BPmt ICICI BANK LTD MMT/IMPS/526620 758884/AdvanceSe pt25/SONULOTHDA/IDI"/>
    <n v="5000"/>
    <x v="8"/>
  </r>
  <r>
    <d v="2025-09-23T00:00:00"/>
    <x v="5"/>
    <s v="23/09/2025 BPmt ICICI BANK LTD MMT/IMPS/526620 759838/AdvanceSe pt25/MANOHARLA B/IDI"/>
    <n v="5000"/>
    <x v="2"/>
  </r>
  <r>
    <d v="2025-09-23T00:00:00"/>
    <x v="5"/>
    <s v="23/09/2025 BPmt ICICI BANK LTD MMT/IMPS/526620 763151/AdvanceSe pt25/MITHAILOTH/ IDI"/>
    <n v="5000"/>
    <x v="5"/>
  </r>
  <r>
    <d v="2025-09-23T00:00:00"/>
    <x v="5"/>
    <s v="23/09/2025 BPmt ICICI BANK LTD MMT/IMPS/526620 763151/AdvanceSe pt25/MITHAILOTH/ IDI"/>
    <n v="5000"/>
    <x v="5"/>
  </r>
  <r>
    <d v="2025-09-23T00:00:00"/>
    <x v="5"/>
    <s v="23/09/2025 BPmt ICICI BANK LTD MMT/IMPS/526620 763641/AdvanceSe pt25/VIJAYL"/>
    <n v="5000"/>
    <x v="6"/>
  </r>
  <r>
    <d v="2025-09-23T00:00:00"/>
    <x v="5"/>
    <s v="23/09/2025 BPmt ICICI BANK LTD MMT/IMPS/526620 766054/AdvanceSe pt25/DINESHLABO /ID"/>
    <n v="5000"/>
    <x v="9"/>
  </r>
  <r>
    <d v="2025-09-23T00:00:00"/>
    <x v="5"/>
    <s v="23/09/2025 BPmt ICICI BANK LTD MMT/IMPS/526620 770898/AdvanceSe pt25/PINTULOTHA /IDI"/>
    <n v="10000"/>
    <x v="3"/>
  </r>
  <r>
    <d v="2025-09-23T00:00:00"/>
    <x v="5"/>
    <s v="23/09/2025 BPmt ICICI BANK LTD MMT/IMPS/526620 778646/AdvanceSe pt25/PINTULABOU /BAR"/>
    <n v="10000"/>
    <x v="3"/>
  </r>
  <r>
    <d v="2025-09-23T00:00:00"/>
    <x v="5"/>
    <s v="23/09/2025 BPmt ICICI BANK LTD MMT/IMPS/526623 000379/AdvanceSe pt25/SureshLabo/H DF"/>
    <n v="11200"/>
    <x v="10"/>
  </r>
  <r>
    <d v="2025-09-23T00:00:00"/>
    <x v="5"/>
    <s v="23/09/2025 BPmt ICICI BANK LTD MMT/IMPS/526623 003451/AdvanceSe pt25/MithaiLoth/IDI"/>
    <n v="5300"/>
    <x v="5"/>
  </r>
  <r>
    <d v="2025-10-08T00:00:00"/>
    <x v="6"/>
    <s v="08/10/2025 BPmt ICICI BANK LTD MMT/IMPS/528112 987761/SalarySept 25/MANOHARLAB/ IDIB"/>
    <n v="10150"/>
    <x v="2"/>
  </r>
  <r>
    <d v="2025-10-08T00:00:00"/>
    <x v="6"/>
    <s v="08/10/2025 BPmt ICICI BANK LTD MMT/IMPS/528112 989652/SalarySept 25/VIJAYLOTHD/I DIB"/>
    <n v="13200"/>
    <x v="6"/>
  </r>
  <r>
    <d v="2025-10-08T00:00:00"/>
    <x v="6"/>
    <s v="08/10/2025 BPmt ICICI BANK LTD MMT/IMPS/528112 996342/SalarySept 25/DINESHLABO/I DIB"/>
    <n v="12325"/>
    <x v="9"/>
  </r>
  <r>
    <d v="2025-10-08T00:00:00"/>
    <x v="6"/>
    <s v="08/10/2025 BPmt ICICI BANK LTD MMT/IMPS/528112 998683/SalarySept 25/BACHCHHRAJ/ IDIB.."/>
    <n v="13850"/>
    <x v="11"/>
  </r>
  <r>
    <d v="2025-10-08T00:00:00"/>
    <x v="6"/>
    <s v="08/10/2025 BPmt ICICI BANK LTD MMT/IMPS/528112 999757/SalarySept 25/HIRALALPOS/I POS"/>
    <n v="13850"/>
    <x v="1"/>
  </r>
  <r>
    <d v="2025-10-08T00:00:00"/>
    <x v="6"/>
    <s v="08/10/2025 BPmt ICICI BANK LTD MMT/IMPS/528112 002941/SalarySept 25/MITHAILOTH/ID IB"/>
    <n v="14825"/>
    <x v="5"/>
  </r>
  <r>
    <d v="2025-10-08T00:00:00"/>
    <x v="6"/>
    <s v="08/10/2025 BPmt ICICI BANK LTD MMT/IMPS/528112 007232/SalarySept 25/SONULOTHDA/ IDIB"/>
    <n v="12000"/>
    <x v="8"/>
  </r>
  <r>
    <d v="2025-10-08T00:00:00"/>
    <x v="6"/>
    <s v="08/10/2025 BPmt ICICI BANK LTD MMT/IMPS/528112 021247/SalarySept 25/PINTULOTHA/I DIB"/>
    <n v="9300"/>
    <x v="3"/>
  </r>
  <r>
    <d v="2025-10-09T00:00:00"/>
    <x v="6"/>
    <s v="09/10/2025 BPmt ICICI BANK LTD MMT/IMPS/528218 429940/SalarySept 25/PINTULOTHA/I DIB"/>
    <n v="15000"/>
    <x v="3"/>
  </r>
  <r>
    <d v="2025-10-10T00:00:00"/>
    <x v="6"/>
    <s v="10/10/2025 BPmt ICICI BANK LTD MMT/IMPS/528313 056402/SalarySept 25/pintulabou/BAR B"/>
    <n v="5000"/>
    <x v="3"/>
  </r>
  <r>
    <d v="2025-10-18T00:00:00"/>
    <x v="6"/>
    <s v="18/10/2025 BPmt ICICI BANK LTD AdvanceO ct25SALARY all the employees."/>
    <n v="71500"/>
    <x v="4"/>
  </r>
  <r>
    <d v="2025-10-26T00:00:00"/>
    <x v="6"/>
    <s v="26/10/2025 BPmt ICICI BANK LTD MMT/IMPS/529916 686644/MuhartBon us/PINTULOTHA/I DIB0"/>
    <n v="2500"/>
    <x v="3"/>
  </r>
  <r>
    <d v="2025-11-04T00:00:00"/>
    <x v="7"/>
    <s v="04/11/2025 BPmt ICICI BANK LTD MMT/IMPS/530811 477008/SalaryOct2 5/MANOHARLAB/I DIB0"/>
    <n v="13850"/>
    <x v="2"/>
  </r>
  <r>
    <d v="2025-11-04T00:00:00"/>
    <x v="7"/>
    <s v="04/11/2025 BPmt ICICI BANK LTD All the Stuff Salary"/>
    <n v="82575"/>
    <x v="4"/>
  </r>
  <r>
    <d v="2025-11-16T00:00:00"/>
    <x v="7"/>
    <s v="16/11/2025 BPmt ICICI BANK LTD INF/NEFT/IN42532 052732861/IDIB00 0R541/SalaryHisab"/>
    <n v="50000"/>
    <x v="4"/>
  </r>
  <r>
    <d v="2025-11-16T00:00:00"/>
    <x v="7"/>
    <s v="16/11/2025 BPmt ICICI BANK LTD INF/NEFT/IN42532 052817405/IDIB00 0R007/SalaryHisab"/>
    <n v="50000"/>
    <x v="4"/>
  </r>
  <r>
    <d v="2025-11-17T00:00:00"/>
    <x v="7"/>
    <s v="17/11/2025 BPmt ICICI BANK LTD MMT/IMPS/532114 882122/SalaryHisa b/PintuHisa"/>
    <n v="50000"/>
    <x v="3"/>
  </r>
  <r>
    <d v="2025-11-17T00:00:00"/>
    <x v="7"/>
    <s v="17/11/2025 BPmt ICICI BANK LTD MMT/IMPS/532114 884218/SalaryHisa b/PintuHisab/IPOS 0"/>
    <n v="25000"/>
    <x v="3"/>
  </r>
  <r>
    <d v="2025-11-18T00:00:00"/>
    <x v="7"/>
    <s v="18/11/2025 BPmt ICICI BANK LTD INF/NEFT/IN42532 254125979/IPOS0 000001/SalaryHisa b"/>
    <n v="25000"/>
    <x v="4"/>
  </r>
  <r>
    <d v="2025-11-19T00:00:00"/>
    <x v="7"/>
    <s v="19/11/2025 BPmt ICICI BANK LTD Being labour advance paid for November 2025 via IMPS Ref 532312189113)"/>
    <n v="15000"/>
    <x v="4"/>
  </r>
  <r>
    <d v="2025-11-21T00:00:00"/>
    <x v="7"/>
    <s v="21/11/2025 BPmt ICICI BANK LTD MMT/IMPS/532511 762965/SalaryHisa b/SonuLothda/IDIB 0"/>
    <n v="25000"/>
    <x v="8"/>
  </r>
  <r>
    <d v="2025-11-21T00:00:00"/>
    <x v="7"/>
    <s v="21/11/2025 BPmt ICICI BANK LTD S6654873 21-Nov2025 21-Nov-2025 MMT/IMPS/532522 114061/PSIC/PSIC NAVJOT/UTIB0001 820 32400.00 NA 2798945.14"/>
    <n v="32400"/>
    <x v="12"/>
  </r>
  <r>
    <d v="2025-11-22T00:00:00"/>
    <x v="7"/>
    <s v="22/11/2025 BPmt ICICI BANK LTD INF/NEFT/IN42532 656368859/IDIB00 0R541/AdvanceNo v25"/>
    <n v="5000"/>
    <x v="4"/>
  </r>
  <r>
    <d v="2025-11-24T00:00:00"/>
    <x v="7"/>
    <s v="24/11/2025 BPmt ICICI BANK LTD ALL THE STUFF NOV SALARY ADVANCE"/>
    <n v="65000"/>
    <x v="4"/>
  </r>
  <r>
    <d v="2025-11-30T00:00:00"/>
    <x v="7"/>
    <s v="30/11/2025 BPmt ICICI BANK LTD MMT/IMPS/533422 903092/AdvanceN ov25/SonuLothda/I DIB"/>
    <n v="1000"/>
    <x v="8"/>
  </r>
  <r>
    <d v="2025-12-03T00:00:00"/>
    <x v="8"/>
    <s v="03/12/2025 BPmt ICICI BANK LTD MMT/IMPS/533714 085912/AdvanceD ec25/MunimLabou/ KKBK"/>
    <n v="10000"/>
    <x v="13"/>
  </r>
  <r>
    <d v="2025-12-10T00:00:00"/>
    <x v="8"/>
    <s v="10/12/2025 BPmt ICICI BANK LTD MMT/IMPS/534417 768942/SalaryNov 25/DineshLabo/IDI B0"/>
    <n v="12080"/>
    <x v="9"/>
  </r>
  <r>
    <d v="2025-12-10T00:00:00"/>
    <x v="8"/>
    <s v="10/12/2025 BPmt ICICI BANK LTD MMT/IMPS/534417 773470/SalaryNov 25/manoharlab/IDI B0"/>
    <n v="21080"/>
    <x v="2"/>
  </r>
  <r>
    <d v="2025-12-10T00:00:00"/>
    <x v="8"/>
    <s v="10/12/2025 BPmt ICICI BANK LTD MMT/IMPS/534417 776602/SalaryNov 25/SonuLothda/IDI B0"/>
    <n v="20420"/>
    <x v="8"/>
  </r>
  <r>
    <d v="2025-12-10T00:00:00"/>
    <x v="8"/>
    <s v="10/12/2025 BPmt ICICI BANK LTD MMT/IMPS/534417 780857/SalaryNov 25/HiralalPos/IPOS 0MMT/IMPS/534417 780857/SalaryNov 25/HiralalPos/IPOS 0"/>
    <n v="15740"/>
    <x v="1"/>
  </r>
  <r>
    <d v="2025-12-10T00:00:00"/>
    <x v="8"/>
    <s v="10/12/2025 BPmt ICICI BANK LTD MMT/IMPS/534417 782941/SalaryNov 25/MithaiLoth/IDIB 0"/>
    <n v="15740"/>
    <x v="5"/>
  </r>
  <r>
    <d v="2025-12-10T00:00:00"/>
    <x v="8"/>
    <s v="10/12/2025 BPmt ICICI BANK LTD MMT/IMPS/534417 782941/SalaryNov 25/MithaiLoth/IDIB 0"/>
    <n v="11500"/>
    <x v="5"/>
  </r>
  <r>
    <d v="2025-12-11T00:00:00"/>
    <x v="8"/>
    <s v="11/12/2025 BPmt ICICI BANK LTD MMT/IMPS/534516 789028/SalaryNov 25/NankeLabou/IDI B0"/>
    <n v="9200"/>
    <x v="14"/>
  </r>
  <r>
    <d v="2025-12-13T00:00:00"/>
    <x v="8"/>
    <s v="13/12/2025 BPmt ICICI BANK LTD MMT/IMPS/534700 462031/SalaryNov 25/RamDalLabo/IP OS0"/>
    <n v="10600"/>
    <x v="15"/>
  </r>
  <r>
    <d v="2025-12-13T00:00:00"/>
    <x v="8"/>
    <s v="13/12/2025 BPmt ICICI BANK LTD MMT/IMPS/534718 602106/AdvanceD ec25/MunimLabou/ KKBK"/>
    <n v="2000"/>
    <x v="13"/>
  </r>
  <r>
    <d v="2025-12-22T00:00:00"/>
    <x v="8"/>
    <s v="22/12/2025 BPmt ICICI BANK LTD MMT/IMPS/535610 423181/AdvanceD ec25/MunimLabou/ KKBK"/>
    <n v="20000"/>
    <x v="13"/>
  </r>
  <r>
    <d v="2025-12-23T00:00:00"/>
    <x v="8"/>
    <s v="23/12/2025 BPmt ICICI BANK LTD MMT/IMPS/535719 603880/AdvanceD ec25/HIRALALPOS /IPOS"/>
    <n v="5000"/>
    <x v="1"/>
  </r>
  <r>
    <d v="2025-12-23T00:00:00"/>
    <x v="8"/>
    <s v="23/12/2025 BPmt ICICI BANK LTD MMT/IMPS/535719 603470/AdvanceD ec25/MITHAILOTH /IDIB"/>
    <n v="5000"/>
    <x v="5"/>
  </r>
  <r>
    <d v="2025-12-23T00:00:00"/>
    <x v="8"/>
    <s v="23/12/2025 BPmt ICICI BANK LTD MMT/IMPS/535719 605125/AdvanceD ec25/NANKELABO U/IDIB"/>
    <n v="5000"/>
    <x v="14"/>
  </r>
  <r>
    <d v="2025-12-23T00:00:00"/>
    <x v="8"/>
    <s v="23/12/2025 BPmt ICICI BANK LTD MMT/IMPS/535719 606469/AdvanceD ec25/SONULOTHD A/IDIB"/>
    <n v="5000"/>
    <x v="8"/>
  </r>
  <r>
    <d v="2025-12-23T00:00:00"/>
    <x v="8"/>
    <s v="23/12/2025 BPmt ICICI BANK LTD MMT/IMPS/535719 608264/AdvanceD ec25/MANOHARL AB/IDIB"/>
    <n v="5000"/>
    <x v="2"/>
  </r>
  <r>
    <d v="2025-12-23T00:00:00"/>
    <x v="8"/>
    <s v="23/12/2025 BPmt ICICI BANK LTD MMT/IMPS/535719 609999/AdvanceD ec25/BACHCHHR AJ/IDIB"/>
    <n v="5000"/>
    <x v="11"/>
  </r>
  <r>
    <d v="2025-12-23T00:00:00"/>
    <x v="8"/>
    <s v="23/12/2025 BPmt ICICI BANK LTD MMT/IMPS/535719 610912/AdvanceD ec25/DINESHLAB O/IDIB"/>
    <n v="5000"/>
    <x v="9"/>
  </r>
  <r>
    <d v="2025-12-23T00:00:00"/>
    <x v="8"/>
    <s v="23/12/2025 BPmt ICICI BANK LTD MMT/IMPS/535719 611882/AdvanceD ec25/SURESHLAB O/HDFC"/>
    <n v="5000"/>
    <x v="10"/>
  </r>
  <r>
    <d v="2025-12-23T00:00:00"/>
    <x v="8"/>
    <s v="23/12/2025 BPmt ICICI BANK LTD MMT/IMPS/535719 612405/AdvanceD ec25/RAMDALLAB O/IPOS"/>
    <n v="5000"/>
    <x v="15"/>
  </r>
  <r>
    <d v="2025-12-26T00:00:00"/>
    <x v="8"/>
    <s v="26/12/2025 BPmt ICICI BANK LTD MMT/IMPS/536011 078615/SalaryDec 25/manoharlab/IDI B0"/>
    <n v="5640"/>
    <x v="2"/>
  </r>
  <r>
    <d v="2025-12-26T00:00:00"/>
    <x v="8"/>
    <s v="26/12/2025 BPmt ICICI BANK LTD MMT/IMPS/536011 081394/SalaryDec 25/MithaiLoth/IDIB 0"/>
    <n v="11000"/>
    <x v="5"/>
  </r>
  <r>
    <d v="2026-01-06T00:00:00"/>
    <x v="9"/>
    <s v="06/01/2026 BPmt ICICI BANK LTD MMT/IMPS/600609 031369/AdvanceD ec25/MunimLabou/ KKBK"/>
    <n v="3000"/>
    <x v="13"/>
  </r>
  <r>
    <d v="2026-01-06T00:00:00"/>
    <x v="9"/>
    <s v="06/01/2026 BPmt ICICI BANK LTD MMT/IMPS/600616 068172/DiskBreak Unload/DineshLab o/I"/>
    <n v="1520"/>
    <x v="9"/>
  </r>
  <r>
    <d v="2026-01-07T00:00:00"/>
    <x v="9"/>
    <s v="07/01/2026 BPmt ICICI BANK LTD MMT/IMPS/600710 315594/AdvanceJa n26/MunimLabou/K KBK"/>
    <n v="10000"/>
    <x v="13"/>
  </r>
  <r>
    <d v="2026-01-10T00:00:00"/>
    <x v="9"/>
    <s v="10/01/2026 BPmt ICICI BANK LTD MMT/IMPS/601023 441265/SalaryDec 25/SonuLothda/IDI B0"/>
    <n v="13525"/>
    <x v="8"/>
  </r>
  <r>
    <d v="2026-01-10T00:00:00"/>
    <x v="9"/>
    <s v="10/01/2026 BPmt ICICI BANK LTD MMT/IMPS/601023 443969/SalaryDec 25/NankeLabou/IDI B0"/>
    <n v="14380"/>
    <x v="14"/>
  </r>
  <r>
    <d v="2026-01-10T00:00:00"/>
    <x v="9"/>
    <s v="10/01/2026 BPmt ICICI BANK LTD MMT/IMPS/601023 444378/SalaryDec 25/HiralalPos/IPOS 0"/>
    <n v="14040"/>
    <x v="1"/>
  </r>
  <r>
    <d v="2026-01-10T00:00:00"/>
    <x v="9"/>
    <s v="10/01/2026 BPmt ICICI BANK LTD MMT/IMPS/601023 446001/SalaryDec 25/SureshLoth/IDIB 0"/>
    <n v="12360"/>
    <x v="10"/>
  </r>
  <r>
    <d v="2026-01-10T00:00:00"/>
    <x v="9"/>
    <s v="10/01/2026 BPmt ICICI BANK LTD MMT/IMPS/601023 446134/SalaryDec 25/RamDalLabo/IP OS"/>
    <n v="9400"/>
    <x v="15"/>
  </r>
  <r>
    <d v="2026-01-10T00:00:00"/>
    <x v="9"/>
    <s v="10/01/2026 BPmt ICICI BANK LTD MMT/IMPS/601023 448260/SalaryDec 25/DineshLabo/IDI B0"/>
    <n v="12400"/>
    <x v="9"/>
  </r>
  <r>
    <d v="2026-01-11T00:00:00"/>
    <x v="9"/>
    <s v="11/01/2026 BPmt ICICI BANK LTD MMT/IMPS/601110 721485/SalaryDec 25/SureshLoth/IDIB 0"/>
    <n v="13700"/>
    <x v="10"/>
  </r>
  <r>
    <d v="2026-01-11T00:00:00"/>
    <x v="9"/>
    <s v="11/01/2026 BPmt ICICI BANK LTD MMT/IMPS/601110 727125/SalaryDec 25/MadhuLabou/ID IB0"/>
    <n v="25000"/>
    <x v="16"/>
  </r>
  <r>
    <d v="2026-01-11T00:00:00"/>
    <x v="9"/>
    <s v="11/01/2026 BPmt ICICI BANK LTD MMT/IMPS/601110 728103/SalaryDec 25/MunimLabou/K KBK0"/>
    <n v="25000"/>
    <x v="13"/>
  </r>
  <r>
    <d v="2026-01-11T00:00:00"/>
    <x v="9"/>
    <s v="11/01/2026 BPmt ICICI BANK LTD MMT/IMPS/601123 805700/Unloading Charge/MunimLab ou/K"/>
    <n v="6700"/>
    <x v="13"/>
  </r>
  <r>
    <d v="2026-01-11T00:00:00"/>
    <x v="9"/>
    <s v="11/01/2026 BPmt ICICI BANK LTD INF/NEFT/IN42601 654939531/IDIB00 0R007/AdvanceJan 26"/>
    <n v="20000"/>
    <x v="4"/>
  </r>
  <r>
    <d v="2026-01-20T00:00:00"/>
    <x v="9"/>
    <s v="20/01/2026 BPmt ICICI BANK LTD MMT/IMPS/602210 274284/SalaryJan2 026/HIRALALPOS/ IPO"/>
    <n v="7820"/>
    <x v="1"/>
  </r>
  <r>
    <d v="2026-01-22T00:00:00"/>
    <x v="9"/>
    <s v="22/01/2026 BPmt ICICI BANK LTD MMT/IMPS/602210 280017/SalaryJan2 026/NANKELABO U/IDI"/>
    <n v="7820"/>
    <x v="14"/>
  </r>
  <r>
    <d v="2026-01-22T00:00:00"/>
    <x v="9"/>
    <s v="22/01/2026 BPmt ICICI BANK LTD MMT/IMPS/602210 282403/SalaryJan2 026/SONULOTHD A/IDI"/>
    <n v="10400"/>
    <x v="8"/>
  </r>
  <r>
    <d v="2026-01-22T00:00:00"/>
    <x v="9"/>
    <s v="22/01/2026 BPmt ICICI BANK LTD MMT/IMPS/602210 283745/SalaryJan2 026/DINESHLABO/ IDI"/>
    <n v="6900"/>
    <x v="9"/>
  </r>
  <r>
    <d v="2026-01-22T00:00:00"/>
    <x v="9"/>
    <s v="22/01/2026 BPmt ICICI BANK LTD MMT/IMPS/602210 285117/SalaryJan2 026/RAMDALLAB O/IPO"/>
    <n v="8100"/>
    <x v="15"/>
  </r>
  <r>
    <d v="2026-01-22T00:00:00"/>
    <x v="9"/>
    <s v="22/01/2026 BPmt ICICI BANK LTD MMT/IMPS/602210 286384/SalaryJan2 026/SURESHLOT H/IDI"/>
    <n v="9300"/>
    <x v="10"/>
  </r>
  <r>
    <d v="2026-01-22T00:00:00"/>
    <x v="9"/>
    <s v="22/01/2026 BPmt ICICI BANK LTD MMT/IMPS/602210 289752/SalaryJan2 026/DINESHLABO/ IDI"/>
    <n v="10200"/>
    <x v="9"/>
  </r>
  <r>
    <d v="2026-01-23T00:00:00"/>
    <x v="9"/>
    <s v="23/01/2026 BPmt ICICI BANK LTD MMT/IMPS/602320 521255/DiskBreakl abor/HiralalPos/IP"/>
    <n v="4500"/>
    <x v="1"/>
  </r>
  <r>
    <d v="2026-01-24T00:00:00"/>
    <x v="9"/>
    <s v="24/01/2026 BPmt ICICI BANK LTD MMT/IMPS/602419 126449/SalaryJan2 6/MadhuLabou/IDI B0"/>
    <n v="5000"/>
    <x v="16"/>
  </r>
  <r>
    <d v="2026-02-04T00:00:00"/>
    <x v="10"/>
    <s v="04/02/2026 BPmt ICICI BANK LTD MMT/IMPS/603509_x000a_151583/SalaryJan2 6/MadhuLabou/IDI B0"/>
    <n v="20000"/>
    <x v="16"/>
  </r>
  <r>
    <d v="2026-02-11T00:00:00"/>
    <x v="10"/>
    <s v="11/02/2026 BPmt ICICI BANK LTD MMT/IMPS/604215_x000a_645121/DiskBreakL abour/DineshLabo/I"/>
    <n v="15000"/>
    <x v="9"/>
  </r>
  <r>
    <d v="2026-02-14T00:00:00"/>
    <x v="10"/>
    <s v="14/02/2026 BPmt ICICI BANK LTD MMT/IMPS/604519_x000a_689435/AdvanceFe b26/MadhuLabou/I DIB"/>
    <n v="5000"/>
    <x v="16"/>
  </r>
  <r>
    <d v="2026-02-16T00:00:00"/>
    <x v="10"/>
    <s v="16/02/2026 BPmt ICICI BANK LTD MMT/IMPS/604710_x000a_626285/DiskBreakL abour/DineshLabo/I"/>
    <n v="3900"/>
    <x v="9"/>
  </r>
  <r>
    <d v="2026-02-16T00:00:00"/>
    <x v="10"/>
    <s v="16/02/2026 BPmt ICICI BANK LTD MMT/IMPS/604710_x000a_629878/DiskBreakL abour/SonuLothda/ I"/>
    <n v="3850"/>
    <x v="8"/>
  </r>
  <r>
    <d v="2026-02-16T00:00:00"/>
    <x v="10"/>
    <s v="16/02/2026 BPmt ICICI BANK LTD MMT/IMPS/604710_x000a_636095/DiskBreakL abour/SureshLoth/I"/>
    <n v="500"/>
    <x v="10"/>
  </r>
  <r>
    <d v="2026-02-25T00:00:00"/>
    <x v="10"/>
    <s v="25/02/2026 BPmt ICICI BANK LTD MMT/IMPS/605610_x000a_660472/AdvanceFe b26/HiralalPos/IPO S"/>
    <n v="5000"/>
    <x v="1"/>
  </r>
  <r>
    <d v="2026-02-25T00:00:00"/>
    <x v="10"/>
    <s v="25/02/2026 BPmt ICICI BANK LTD MMT/IMPS/605610_x000a_663206/AdvanceFe b26/SonuLothda/ID IB"/>
    <n v="5000"/>
    <x v="8"/>
  </r>
  <r>
    <d v="2026-03-02T00:00:00"/>
    <x v="11"/>
    <s v="02/03/2026 BPmt ICICI BANK LTD MMT/IMPS/606113_x000a_176957/Advance20 26/PINTULOTHA/I DIB0"/>
    <n v="25000"/>
    <x v="3"/>
  </r>
  <r>
    <d v="2026-03-11T00:00:00"/>
    <x v="11"/>
    <s v="11/03/2026 BPmt ICICI BANK LTD MMT/IMPS/607011_x000a_242185/SalaryFeb2 6/HiralalPos/IPOS0"/>
    <n v="10000"/>
    <x v="1"/>
  </r>
  <r>
    <d v="2026-03-19T00:00:00"/>
    <x v="11"/>
    <s v="19/03/2026 BPmt ICICI BANK LTD MMT/IMPS/607812_x000a_736833/AdvanceM arch26/SONULOT HDA/ID"/>
    <n v="2000"/>
    <x v="8"/>
  </r>
  <r>
    <d v="2026-03-23T00:00:00"/>
    <x v="11"/>
    <s v="23/03/2026 BPmt ICICI BANK LTD MMT/IMPS/608217_x000a_900625/AdvanceM arch26/HIRALALP OS/IP"/>
    <n v="5000"/>
    <x v="1"/>
  </r>
  <r>
    <d v="2026-03-23T00:00:00"/>
    <x v="11"/>
    <s v="23/03/2026 BPmt ICICI BANK LTD MMT/IMPS/608217_x000a_902750/AdvanceM arch26/KESHAVLA BO/ID"/>
    <n v="5000"/>
    <x v="0"/>
  </r>
  <r>
    <d v="2026-03-23T00:00:00"/>
    <x v="11"/>
    <s v="23/03/2026 BPmt ICICI BANK LTD MMT/IMPS/608217_x000a_921181/AdvanceM arch26/MITHAILOT H/ID"/>
    <n v="5000"/>
    <x v="5"/>
  </r>
  <r>
    <d v="2026-03-23T00:00:00"/>
    <x v="11"/>
    <s v="23/03/2026 BPmt ICICI BANK LTD MMT/IMPS/608217_x000a_924066/AdvanceM arch26/SONULOT HDA/ID"/>
    <n v="500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6F85A0-576C-4794-AFA5-46E74FE48742}" name="PivotTable7" cacheId="1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2" firstHeaderRow="1" firstDataRow="2" firstDataCol="1"/>
  <pivotFields count="5">
    <pivotField numFmtId="14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numFmtId="2" showAll="0"/>
    <pivotField axis="axisRow" showAll="0">
      <items count="18">
        <item x="11"/>
        <item x="9"/>
        <item x="1"/>
        <item x="0"/>
        <item x="16"/>
        <item x="2"/>
        <item x="5"/>
        <item x="13"/>
        <item x="14"/>
        <item x="12"/>
        <item x="3"/>
        <item x="15"/>
        <item x="4"/>
        <item x="8"/>
        <item x="10"/>
        <item x="6"/>
        <item x="7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Debit" fld="3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ED76D-65E6-4216-93F6-414A5DEF6E2E}" name="Table1" displayName="Table1" ref="A1:E142" totalsRowShown="0" headerRowDxfId="8" dataDxfId="6" headerRowBorderDxfId="7" tableBorderDxfId="5">
  <autoFilter ref="A1:E142" xr:uid="{D4BED76D-65E6-4216-93F6-414A5DEF6E2E}"/>
  <sortState xmlns:xlrd2="http://schemas.microsoft.com/office/spreadsheetml/2017/richdata2" ref="A2:E142">
    <sortCondition ref="A1:A142"/>
  </sortState>
  <tableColumns count="5">
    <tableColumn id="6" xr3:uid="{4FECC922-1DD6-480F-A673-2A80484C991D}" name="Date" dataDxfId="4"/>
    <tableColumn id="4" xr3:uid="{6EB8BB76-1D46-4953-A109-3095CA470850}" name="Month" dataDxfId="0">
      <calculatedColumnFormula>TEXT(A2, "mmmm yyyy")</calculatedColumnFormula>
    </tableColumn>
    <tableColumn id="2" xr3:uid="{DF065157-E612-4460-86B4-F8B3B0497750}" name="Particulars" dataDxfId="3"/>
    <tableColumn id="1" xr3:uid="{5513DCD4-E7C3-4473-A354-17D41B53050F}" name="Debit" dataDxfId="2"/>
    <tableColumn id="3" xr3:uid="{1F2D4C1C-D260-4694-B50B-C37DB7CD1354}" name="employer NAM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832976-A5BB-4935-9F53-B9BC33A9FF4B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C17E-6D25-44CF-BF22-753A60E4A67C}">
  <dimension ref="A3:N22"/>
  <sheetViews>
    <sheetView workbookViewId="0">
      <selection activeCell="B19" sqref="B19"/>
    </sheetView>
  </sheetViews>
  <sheetFormatPr defaultRowHeight="15" x14ac:dyDescent="0.25"/>
  <cols>
    <col min="1" max="1" width="23.42578125" bestFit="1" customWidth="1"/>
    <col min="2" max="2" width="16.85546875" bestFit="1" customWidth="1"/>
    <col min="3" max="3" width="9" bestFit="1" customWidth="1"/>
    <col min="4" max="5" width="9.5703125" bestFit="1" customWidth="1"/>
    <col min="6" max="6" width="11.5703125" bestFit="1" customWidth="1"/>
    <col min="7" max="7" width="15.5703125" bestFit="1" customWidth="1"/>
    <col min="8" max="8" width="12.7109375" bestFit="1" customWidth="1"/>
    <col min="9" max="10" width="15" bestFit="1" customWidth="1"/>
    <col min="11" max="11" width="12.140625" bestFit="1" customWidth="1"/>
    <col min="12" max="12" width="13.42578125" bestFit="1" customWidth="1"/>
    <col min="13" max="13" width="10.85546875" bestFit="1" customWidth="1"/>
    <col min="14" max="14" width="11.28515625" bestFit="1" customWidth="1"/>
    <col min="15" max="15" width="13.85546875" bestFit="1" customWidth="1"/>
    <col min="16" max="16" width="8.5703125" bestFit="1" customWidth="1"/>
    <col min="17" max="17" width="10.42578125" bestFit="1" customWidth="1"/>
    <col min="18" max="18" width="24.28515625" bestFit="1" customWidth="1"/>
    <col min="19" max="19" width="11.28515625" bestFit="1" customWidth="1"/>
  </cols>
  <sheetData>
    <row r="3" spans="1:14" x14ac:dyDescent="0.25">
      <c r="A3" s="13" t="s">
        <v>169</v>
      </c>
      <c r="B3" s="13" t="s">
        <v>398</v>
      </c>
    </row>
    <row r="4" spans="1:14" x14ac:dyDescent="0.25">
      <c r="A4" s="13" t="s">
        <v>168</v>
      </c>
      <c r="B4" t="s">
        <v>399</v>
      </c>
      <c r="C4" t="s">
        <v>407</v>
      </c>
      <c r="D4" t="s">
        <v>405</v>
      </c>
      <c r="E4" t="s">
        <v>404</v>
      </c>
      <c r="F4" t="s">
        <v>400</v>
      </c>
      <c r="G4" t="s">
        <v>410</v>
      </c>
      <c r="H4" t="s">
        <v>409</v>
      </c>
      <c r="I4" t="s">
        <v>408</v>
      </c>
      <c r="J4" t="s">
        <v>401</v>
      </c>
      <c r="K4" t="s">
        <v>403</v>
      </c>
      <c r="L4" t="s">
        <v>402</v>
      </c>
      <c r="M4" t="s">
        <v>406</v>
      </c>
      <c r="N4" t="s">
        <v>170</v>
      </c>
    </row>
    <row r="5" spans="1:14" x14ac:dyDescent="0.25">
      <c r="A5" s="5" t="s">
        <v>148</v>
      </c>
      <c r="B5" s="14"/>
      <c r="C5" s="14"/>
      <c r="D5" s="14"/>
      <c r="E5" s="14"/>
      <c r="F5" s="14"/>
      <c r="G5" s="14"/>
      <c r="H5" s="14">
        <v>13850</v>
      </c>
      <c r="I5" s="14"/>
      <c r="J5" s="14">
        <v>5000</v>
      </c>
      <c r="K5" s="14"/>
      <c r="L5" s="14"/>
      <c r="M5" s="14"/>
      <c r="N5" s="14">
        <v>18850</v>
      </c>
    </row>
    <row r="6" spans="1:14" x14ac:dyDescent="0.25">
      <c r="A6" s="5" t="s">
        <v>143</v>
      </c>
      <c r="B6" s="14"/>
      <c r="C6" s="14"/>
      <c r="D6" s="14"/>
      <c r="E6" s="14"/>
      <c r="F6" s="14"/>
      <c r="G6" s="14">
        <v>5000</v>
      </c>
      <c r="H6" s="14">
        <v>12325</v>
      </c>
      <c r="I6" s="14"/>
      <c r="J6" s="14">
        <v>17080</v>
      </c>
      <c r="K6" s="14">
        <v>31020</v>
      </c>
      <c r="L6" s="14">
        <v>18900</v>
      </c>
      <c r="M6" s="14"/>
      <c r="N6" s="14">
        <v>84325</v>
      </c>
    </row>
    <row r="7" spans="1:14" x14ac:dyDescent="0.25">
      <c r="A7" s="5" t="s">
        <v>13</v>
      </c>
      <c r="B7" s="14">
        <v>31000</v>
      </c>
      <c r="C7" s="14">
        <v>20000</v>
      </c>
      <c r="D7" s="14"/>
      <c r="E7" s="14">
        <v>5000</v>
      </c>
      <c r="F7" s="14"/>
      <c r="G7" s="14">
        <v>18000</v>
      </c>
      <c r="H7" s="14">
        <v>13850</v>
      </c>
      <c r="I7" s="14"/>
      <c r="J7" s="14">
        <v>20740</v>
      </c>
      <c r="K7" s="14">
        <v>26360</v>
      </c>
      <c r="L7" s="14">
        <v>5000</v>
      </c>
      <c r="M7" s="14">
        <v>15000</v>
      </c>
      <c r="N7" s="14">
        <v>154950</v>
      </c>
    </row>
    <row r="8" spans="1:14" x14ac:dyDescent="0.25">
      <c r="A8" s="5" t="s">
        <v>6</v>
      </c>
      <c r="B8" s="14">
        <v>20000</v>
      </c>
      <c r="C8" s="14">
        <v>20000</v>
      </c>
      <c r="D8" s="14"/>
      <c r="E8" s="14"/>
      <c r="F8" s="14"/>
      <c r="G8" s="14"/>
      <c r="H8" s="14"/>
      <c r="I8" s="14"/>
      <c r="J8" s="14"/>
      <c r="K8" s="14"/>
      <c r="L8" s="14"/>
      <c r="M8" s="14">
        <v>5000</v>
      </c>
      <c r="N8" s="14">
        <v>45000</v>
      </c>
    </row>
    <row r="9" spans="1:14" x14ac:dyDescent="0.25">
      <c r="A9" s="5" t="s">
        <v>152</v>
      </c>
      <c r="B9" s="14"/>
      <c r="C9" s="14"/>
      <c r="D9" s="14"/>
      <c r="E9" s="14"/>
      <c r="F9" s="14"/>
      <c r="G9" s="14"/>
      <c r="H9" s="14"/>
      <c r="I9" s="14"/>
      <c r="J9" s="14"/>
      <c r="K9" s="14">
        <v>30000</v>
      </c>
      <c r="L9" s="14">
        <v>25000</v>
      </c>
      <c r="M9" s="14"/>
      <c r="N9" s="14">
        <v>55000</v>
      </c>
    </row>
    <row r="10" spans="1:14" x14ac:dyDescent="0.25">
      <c r="A10" s="5" t="s">
        <v>141</v>
      </c>
      <c r="B10" s="14">
        <v>9200</v>
      </c>
      <c r="C10" s="14"/>
      <c r="D10" s="14"/>
      <c r="E10" s="14">
        <v>10000</v>
      </c>
      <c r="F10" s="14">
        <v>74175</v>
      </c>
      <c r="G10" s="14">
        <v>5000</v>
      </c>
      <c r="H10" s="14">
        <v>10150</v>
      </c>
      <c r="I10" s="14">
        <v>13850</v>
      </c>
      <c r="J10" s="14">
        <v>31720</v>
      </c>
      <c r="K10" s="14"/>
      <c r="L10" s="14"/>
      <c r="M10" s="14"/>
      <c r="N10" s="14">
        <v>154095</v>
      </c>
    </row>
    <row r="11" spans="1:14" x14ac:dyDescent="0.25">
      <c r="A11" s="5" t="s">
        <v>15</v>
      </c>
      <c r="B11" s="14"/>
      <c r="C11" s="14"/>
      <c r="D11" s="14">
        <v>10000</v>
      </c>
      <c r="E11" s="14">
        <v>5000</v>
      </c>
      <c r="F11" s="14"/>
      <c r="G11" s="14">
        <v>27800</v>
      </c>
      <c r="H11" s="14">
        <v>14825</v>
      </c>
      <c r="I11" s="14"/>
      <c r="J11" s="14">
        <v>43240</v>
      </c>
      <c r="K11" s="14"/>
      <c r="L11" s="14"/>
      <c r="M11" s="14">
        <v>5000</v>
      </c>
      <c r="N11" s="14">
        <v>105865</v>
      </c>
    </row>
    <row r="12" spans="1:14" x14ac:dyDescent="0.25">
      <c r="A12" s="5" t="s">
        <v>153</v>
      </c>
      <c r="B12" s="14"/>
      <c r="C12" s="14"/>
      <c r="D12" s="14"/>
      <c r="E12" s="14"/>
      <c r="F12" s="14"/>
      <c r="G12" s="14"/>
      <c r="H12" s="14"/>
      <c r="I12" s="14"/>
      <c r="J12" s="14">
        <v>32000</v>
      </c>
      <c r="K12" s="14">
        <v>44700</v>
      </c>
      <c r="L12" s="14"/>
      <c r="M12" s="14"/>
      <c r="N12" s="14">
        <v>76700</v>
      </c>
    </row>
    <row r="13" spans="1:14" x14ac:dyDescent="0.25">
      <c r="A13" s="5" t="s">
        <v>150</v>
      </c>
      <c r="B13" s="14"/>
      <c r="C13" s="14"/>
      <c r="D13" s="14"/>
      <c r="E13" s="14"/>
      <c r="F13" s="14"/>
      <c r="G13" s="14"/>
      <c r="H13" s="14"/>
      <c r="I13" s="14"/>
      <c r="J13" s="14">
        <v>14200</v>
      </c>
      <c r="K13" s="14">
        <v>22200</v>
      </c>
      <c r="L13" s="14"/>
      <c r="M13" s="14"/>
      <c r="N13" s="14">
        <v>36400</v>
      </c>
    </row>
    <row r="14" spans="1:14" x14ac:dyDescent="0.25">
      <c r="A14" s="5" t="s">
        <v>149</v>
      </c>
      <c r="B14" s="14"/>
      <c r="C14" s="14"/>
      <c r="D14" s="14"/>
      <c r="E14" s="14"/>
      <c r="F14" s="14"/>
      <c r="G14" s="14"/>
      <c r="H14" s="14"/>
      <c r="I14" s="14">
        <v>32400</v>
      </c>
      <c r="J14" s="14"/>
      <c r="K14" s="14"/>
      <c r="L14" s="14"/>
      <c r="M14" s="14"/>
      <c r="N14" s="14">
        <v>32400</v>
      </c>
    </row>
    <row r="15" spans="1:14" x14ac:dyDescent="0.25">
      <c r="A15" s="5" t="s">
        <v>14</v>
      </c>
      <c r="B15" s="14">
        <v>20000</v>
      </c>
      <c r="C15" s="14">
        <v>25000</v>
      </c>
      <c r="D15" s="14">
        <v>23500</v>
      </c>
      <c r="E15" s="14">
        <v>20000</v>
      </c>
      <c r="F15" s="14"/>
      <c r="G15" s="14">
        <v>40000</v>
      </c>
      <c r="H15" s="14">
        <v>31800</v>
      </c>
      <c r="I15" s="14">
        <v>75000</v>
      </c>
      <c r="J15" s="14"/>
      <c r="K15" s="14"/>
      <c r="L15" s="14"/>
      <c r="M15" s="14">
        <v>25000</v>
      </c>
      <c r="N15" s="14">
        <v>260300</v>
      </c>
    </row>
    <row r="16" spans="1:14" x14ac:dyDescent="0.25">
      <c r="A16" s="5" t="s">
        <v>151</v>
      </c>
      <c r="B16" s="14"/>
      <c r="C16" s="14"/>
      <c r="D16" s="14"/>
      <c r="E16" s="14"/>
      <c r="F16" s="14"/>
      <c r="G16" s="14"/>
      <c r="H16" s="14"/>
      <c r="I16" s="14"/>
      <c r="J16" s="14">
        <v>15600</v>
      </c>
      <c r="K16" s="14">
        <v>17500</v>
      </c>
      <c r="L16" s="14"/>
      <c r="M16" s="14"/>
      <c r="N16" s="14">
        <v>33100</v>
      </c>
    </row>
    <row r="17" spans="1:14" x14ac:dyDescent="0.25">
      <c r="A17" s="5" t="s">
        <v>16</v>
      </c>
      <c r="B17" s="14"/>
      <c r="C17" s="14">
        <v>24400</v>
      </c>
      <c r="D17" s="14">
        <v>81850</v>
      </c>
      <c r="E17" s="14">
        <v>73675</v>
      </c>
      <c r="F17" s="14">
        <v>40000</v>
      </c>
      <c r="G17" s="14">
        <v>61100</v>
      </c>
      <c r="H17" s="14">
        <v>71500</v>
      </c>
      <c r="I17" s="14">
        <v>292575</v>
      </c>
      <c r="J17" s="14"/>
      <c r="K17" s="14">
        <v>20000</v>
      </c>
      <c r="L17" s="14"/>
      <c r="M17" s="14">
        <v>5000</v>
      </c>
      <c r="N17" s="14">
        <v>670100</v>
      </c>
    </row>
    <row r="18" spans="1:14" x14ac:dyDescent="0.25">
      <c r="A18" s="5" t="s">
        <v>145</v>
      </c>
      <c r="B18" s="14"/>
      <c r="C18" s="14"/>
      <c r="D18" s="14"/>
      <c r="E18" s="14"/>
      <c r="F18" s="14"/>
      <c r="G18" s="14">
        <v>5000</v>
      </c>
      <c r="H18" s="14">
        <v>12000</v>
      </c>
      <c r="I18" s="14">
        <v>26000</v>
      </c>
      <c r="J18" s="14">
        <v>25420</v>
      </c>
      <c r="K18" s="14">
        <v>23925</v>
      </c>
      <c r="L18" s="14">
        <v>8850</v>
      </c>
      <c r="M18" s="14">
        <v>2000</v>
      </c>
      <c r="N18" s="14">
        <v>103195</v>
      </c>
    </row>
    <row r="19" spans="1:14" x14ac:dyDescent="0.25">
      <c r="A19" s="5" t="s">
        <v>147</v>
      </c>
      <c r="B19" s="14"/>
      <c r="C19" s="14"/>
      <c r="D19" s="14"/>
      <c r="E19" s="14"/>
      <c r="F19" s="14"/>
      <c r="G19" s="14">
        <v>11200</v>
      </c>
      <c r="H19" s="14"/>
      <c r="I19" s="14"/>
      <c r="J19" s="14">
        <v>5000</v>
      </c>
      <c r="K19" s="14">
        <v>35360</v>
      </c>
      <c r="L19" s="14">
        <v>500</v>
      </c>
      <c r="M19" s="14"/>
      <c r="N19" s="14">
        <v>52060</v>
      </c>
    </row>
    <row r="20" spans="1:14" x14ac:dyDescent="0.25">
      <c r="A20" s="5" t="s">
        <v>142</v>
      </c>
      <c r="B20" s="14"/>
      <c r="C20" s="14"/>
      <c r="D20" s="14"/>
      <c r="E20" s="14"/>
      <c r="F20" s="14">
        <v>10000</v>
      </c>
      <c r="G20" s="14">
        <v>5000</v>
      </c>
      <c r="H20" s="14">
        <v>13200</v>
      </c>
      <c r="I20" s="14"/>
      <c r="J20" s="14"/>
      <c r="K20" s="14"/>
      <c r="L20" s="14"/>
      <c r="M20" s="14"/>
      <c r="N20" s="14">
        <v>28200</v>
      </c>
    </row>
    <row r="21" spans="1:14" x14ac:dyDescent="0.25">
      <c r="A21" s="5" t="s">
        <v>146</v>
      </c>
      <c r="B21" s="14"/>
      <c r="C21" s="14"/>
      <c r="D21" s="14"/>
      <c r="E21" s="14"/>
      <c r="F21" s="14">
        <v>7000</v>
      </c>
      <c r="G21" s="14"/>
      <c r="H21" s="14"/>
      <c r="I21" s="14"/>
      <c r="J21" s="14"/>
      <c r="K21" s="14"/>
      <c r="L21" s="14"/>
      <c r="M21" s="14"/>
      <c r="N21" s="14">
        <v>7000</v>
      </c>
    </row>
    <row r="22" spans="1:14" x14ac:dyDescent="0.25">
      <c r="A22" s="5" t="s">
        <v>170</v>
      </c>
      <c r="B22" s="14">
        <v>80200</v>
      </c>
      <c r="C22" s="14">
        <v>89400</v>
      </c>
      <c r="D22" s="14">
        <v>115350</v>
      </c>
      <c r="E22" s="14">
        <v>113675</v>
      </c>
      <c r="F22" s="14">
        <v>131175</v>
      </c>
      <c r="G22" s="14">
        <v>178100</v>
      </c>
      <c r="H22" s="14">
        <v>193500</v>
      </c>
      <c r="I22" s="14">
        <v>439825</v>
      </c>
      <c r="J22" s="14">
        <v>210000</v>
      </c>
      <c r="K22" s="14">
        <v>251065</v>
      </c>
      <c r="L22" s="14">
        <v>58250</v>
      </c>
      <c r="M22" s="14">
        <v>57000</v>
      </c>
      <c r="N22" s="14">
        <v>1917540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053DB-FA42-427E-9144-44E3261278C4}">
  <sheetPr codeName="Sheet1"/>
  <dimension ref="A1:F142"/>
  <sheetViews>
    <sheetView workbookViewId="0">
      <selection sqref="A1:E1048576"/>
    </sheetView>
  </sheetViews>
  <sheetFormatPr defaultRowHeight="15" x14ac:dyDescent="0.25"/>
  <cols>
    <col min="1" max="1" width="14.85546875" style="17" bestFit="1" customWidth="1"/>
    <col min="2" max="2" width="19.7109375" style="17" bestFit="1" customWidth="1"/>
    <col min="3" max="3" width="55.140625" style="12" bestFit="1" customWidth="1"/>
    <col min="4" max="4" width="17.28515625" style="8" customWidth="1"/>
    <col min="5" max="6" width="23.42578125" style="12" bestFit="1" customWidth="1"/>
    <col min="7" max="7" width="11.140625" customWidth="1"/>
    <col min="8" max="8" width="13.42578125" customWidth="1"/>
  </cols>
  <sheetData>
    <row r="1" spans="1:6" x14ac:dyDescent="0.25">
      <c r="A1" s="15" t="s">
        <v>172</v>
      </c>
      <c r="B1" s="15" t="s">
        <v>397</v>
      </c>
      <c r="C1" s="6" t="s">
        <v>1</v>
      </c>
      <c r="D1" s="9" t="s">
        <v>2</v>
      </c>
      <c r="E1" s="10" t="s">
        <v>167</v>
      </c>
      <c r="F1"/>
    </row>
    <row r="2" spans="1:6" ht="28.5" x14ac:dyDescent="0.25">
      <c r="A2" s="16">
        <v>45759</v>
      </c>
      <c r="B2" s="16" t="str">
        <f>TEXT(A2, "mmmm yyyy")</f>
        <v>April 2025</v>
      </c>
      <c r="C2" s="7" t="s">
        <v>140</v>
      </c>
      <c r="D2" s="11">
        <v>20000</v>
      </c>
      <c r="E2" s="12" t="s">
        <v>6</v>
      </c>
      <c r="F2"/>
    </row>
    <row r="3" spans="1:6" x14ac:dyDescent="0.25">
      <c r="A3" s="16">
        <v>45759</v>
      </c>
      <c r="B3" s="16" t="str">
        <f>TEXT(A3, "mmmm yyyy")</f>
        <v>April 2025</v>
      </c>
      <c r="C3" s="7" t="s">
        <v>139</v>
      </c>
      <c r="D3" s="11">
        <v>8000</v>
      </c>
      <c r="E3" s="12" t="s">
        <v>13</v>
      </c>
      <c r="F3"/>
    </row>
    <row r="4" spans="1:6" ht="28.5" x14ac:dyDescent="0.25">
      <c r="A4" s="16">
        <v>45759</v>
      </c>
      <c r="B4" s="16" t="str">
        <f>TEXT(A4, "mmmm yyyy")</f>
        <v>April 2025</v>
      </c>
      <c r="C4" s="7" t="s">
        <v>138</v>
      </c>
      <c r="D4" s="11">
        <v>9200</v>
      </c>
      <c r="E4" s="12" t="s">
        <v>141</v>
      </c>
      <c r="F4"/>
    </row>
    <row r="5" spans="1:6" x14ac:dyDescent="0.25">
      <c r="A5" s="16">
        <v>45759</v>
      </c>
      <c r="B5" s="16" t="str">
        <f>TEXT(A5, "mmmm yyyy")</f>
        <v>April 2025</v>
      </c>
      <c r="C5" s="7" t="s">
        <v>137</v>
      </c>
      <c r="D5" s="11">
        <v>20000</v>
      </c>
      <c r="E5" s="12" t="s">
        <v>14</v>
      </c>
      <c r="F5"/>
    </row>
    <row r="6" spans="1:6" x14ac:dyDescent="0.25">
      <c r="A6" s="16">
        <v>45761</v>
      </c>
      <c r="B6" s="16" t="str">
        <f>TEXT(A6, "mmmm yyyy")</f>
        <v>April 2025</v>
      </c>
      <c r="C6" s="7" t="s">
        <v>136</v>
      </c>
      <c r="D6" s="11">
        <v>2000</v>
      </c>
      <c r="E6" s="12" t="s">
        <v>13</v>
      </c>
      <c r="F6"/>
    </row>
    <row r="7" spans="1:6" x14ac:dyDescent="0.25">
      <c r="A7" s="16">
        <v>45771</v>
      </c>
      <c r="B7" s="16" t="str">
        <f>TEXT(A7, "mmmm yyyy")</f>
        <v>April 2025</v>
      </c>
      <c r="C7" s="7" t="s">
        <v>135</v>
      </c>
      <c r="D7" s="11">
        <v>21000</v>
      </c>
      <c r="E7" s="12" t="s">
        <v>13</v>
      </c>
      <c r="F7"/>
    </row>
    <row r="8" spans="1:6" ht="28.5" x14ac:dyDescent="0.25">
      <c r="A8" s="16">
        <v>45785</v>
      </c>
      <c r="B8" s="16" t="str">
        <f>TEXT(A8, "mmmm yyyy")</f>
        <v>May 2025</v>
      </c>
      <c r="C8" s="7" t="s">
        <v>134</v>
      </c>
      <c r="D8" s="11">
        <v>20000</v>
      </c>
      <c r="E8" s="12" t="s">
        <v>6</v>
      </c>
      <c r="F8"/>
    </row>
    <row r="9" spans="1:6" x14ac:dyDescent="0.25">
      <c r="A9" s="16">
        <v>45785</v>
      </c>
      <c r="B9" s="16" t="str">
        <f>TEXT(A9, "mmmm yyyy")</f>
        <v>May 2025</v>
      </c>
      <c r="C9" s="7" t="s">
        <v>133</v>
      </c>
      <c r="D9" s="11">
        <v>20000</v>
      </c>
      <c r="E9" s="12" t="s">
        <v>13</v>
      </c>
      <c r="F9"/>
    </row>
    <row r="10" spans="1:6" x14ac:dyDescent="0.25">
      <c r="A10" s="16">
        <v>45786</v>
      </c>
      <c r="B10" s="16" t="str">
        <f>TEXT(A10, "mmmm yyyy")</f>
        <v>May 2025</v>
      </c>
      <c r="C10" s="7" t="s">
        <v>132</v>
      </c>
      <c r="D10" s="11">
        <v>500</v>
      </c>
      <c r="E10" s="12" t="s">
        <v>14</v>
      </c>
      <c r="F10"/>
    </row>
    <row r="11" spans="1:6" x14ac:dyDescent="0.25">
      <c r="A11" s="16">
        <v>45787</v>
      </c>
      <c r="B11" s="16" t="str">
        <f>TEXT(A11, "mmmm yyyy")</f>
        <v>May 2025</v>
      </c>
      <c r="C11" s="7" t="s">
        <v>131</v>
      </c>
      <c r="D11" s="11">
        <v>24500</v>
      </c>
      <c r="E11" s="12" t="s">
        <v>14</v>
      </c>
      <c r="F11"/>
    </row>
    <row r="12" spans="1:6" x14ac:dyDescent="0.25">
      <c r="A12" s="16">
        <v>45800</v>
      </c>
      <c r="B12" s="16" t="str">
        <f>TEXT(A12, "mmmm yyyy")</f>
        <v>May 2025</v>
      </c>
      <c r="C12" s="7" t="s">
        <v>130</v>
      </c>
      <c r="D12" s="11">
        <v>10400</v>
      </c>
      <c r="E12" s="12" t="s">
        <v>16</v>
      </c>
      <c r="F12"/>
    </row>
    <row r="13" spans="1:6" x14ac:dyDescent="0.25">
      <c r="A13" s="16">
        <v>45800</v>
      </c>
      <c r="B13" s="16" t="str">
        <f>TEXT(A13, "mmmm yyyy")</f>
        <v>May 2025</v>
      </c>
      <c r="C13" s="7" t="s">
        <v>130</v>
      </c>
      <c r="D13" s="11">
        <v>10000</v>
      </c>
      <c r="E13" s="12" t="s">
        <v>16</v>
      </c>
      <c r="F13"/>
    </row>
    <row r="14" spans="1:6" x14ac:dyDescent="0.25">
      <c r="A14" s="16">
        <v>45801</v>
      </c>
      <c r="B14" s="16" t="str">
        <f>TEXT(A14, "mmmm yyyy")</f>
        <v>May 2025</v>
      </c>
      <c r="C14" s="7" t="s">
        <v>129</v>
      </c>
      <c r="D14" s="11">
        <v>4000</v>
      </c>
      <c r="E14" s="12" t="s">
        <v>16</v>
      </c>
      <c r="F14"/>
    </row>
    <row r="15" spans="1:6" ht="71.25" x14ac:dyDescent="0.25">
      <c r="A15" s="16">
        <v>45815</v>
      </c>
      <c r="B15" s="16" t="str">
        <f>TEXT(A15, "mmmm yyyy")</f>
        <v>June 2025</v>
      </c>
      <c r="C15" s="7" t="s">
        <v>154</v>
      </c>
      <c r="D15" s="11">
        <v>30000</v>
      </c>
      <c r="E15" s="12" t="s">
        <v>16</v>
      </c>
      <c r="F15"/>
    </row>
    <row r="16" spans="1:6" ht="57" x14ac:dyDescent="0.25">
      <c r="A16" s="16">
        <v>45815</v>
      </c>
      <c r="B16" s="16" t="str">
        <f>TEXT(A16, "mmmm yyyy")</f>
        <v>June 2025</v>
      </c>
      <c r="C16" s="7" t="s">
        <v>155</v>
      </c>
      <c r="D16" s="11">
        <v>20000</v>
      </c>
      <c r="E16" s="12" t="s">
        <v>16</v>
      </c>
      <c r="F16"/>
    </row>
    <row r="17" spans="1:6" ht="71.25" x14ac:dyDescent="0.25">
      <c r="A17" s="16">
        <v>45817</v>
      </c>
      <c r="B17" s="16" t="str">
        <f>TEXT(A17, "mmmm yyyy")</f>
        <v>June 2025</v>
      </c>
      <c r="C17" s="7" t="s">
        <v>156</v>
      </c>
      <c r="D17" s="11">
        <v>6850</v>
      </c>
      <c r="E17" s="12" t="s">
        <v>16</v>
      </c>
      <c r="F17"/>
    </row>
    <row r="18" spans="1:6" x14ac:dyDescent="0.25">
      <c r="A18" s="16">
        <v>45818</v>
      </c>
      <c r="B18" s="16" t="str">
        <f>TEXT(A18, "mmmm yyyy")</f>
        <v>June 2025</v>
      </c>
      <c r="C18" s="7" t="s">
        <v>128</v>
      </c>
      <c r="D18" s="11">
        <v>10000</v>
      </c>
      <c r="E18" s="12" t="s">
        <v>15</v>
      </c>
      <c r="F18"/>
    </row>
    <row r="19" spans="1:6" ht="28.5" x14ac:dyDescent="0.25">
      <c r="A19" s="16">
        <v>45826</v>
      </c>
      <c r="B19" s="16" t="str">
        <f>TEXT(A19, "mmmm yyyy")</f>
        <v>June 2025</v>
      </c>
      <c r="C19" s="7" t="s">
        <v>127</v>
      </c>
      <c r="D19" s="11">
        <v>3000</v>
      </c>
      <c r="E19" s="12" t="s">
        <v>14</v>
      </c>
      <c r="F19"/>
    </row>
    <row r="20" spans="1:6" ht="71.25" x14ac:dyDescent="0.25">
      <c r="A20" s="16">
        <v>45832</v>
      </c>
      <c r="B20" s="16" t="str">
        <f>TEXT(A20, "mmmm yyyy")</f>
        <v>June 2025</v>
      </c>
      <c r="C20" s="7" t="s">
        <v>157</v>
      </c>
      <c r="D20" s="11">
        <v>3000</v>
      </c>
      <c r="E20" s="12" t="s">
        <v>16</v>
      </c>
      <c r="F20"/>
    </row>
    <row r="21" spans="1:6" ht="71.25" x14ac:dyDescent="0.25">
      <c r="A21" s="16">
        <v>45832</v>
      </c>
      <c r="B21" s="16" t="str">
        <f>TEXT(A21, "mmmm yyyy")</f>
        <v>June 2025</v>
      </c>
      <c r="C21" s="7" t="s">
        <v>158</v>
      </c>
      <c r="D21" s="11">
        <v>14000</v>
      </c>
      <c r="E21" s="12" t="s">
        <v>16</v>
      </c>
      <c r="F21"/>
    </row>
    <row r="22" spans="1:6" ht="71.25" x14ac:dyDescent="0.25">
      <c r="A22" s="16">
        <v>45832</v>
      </c>
      <c r="B22" s="16" t="str">
        <f>TEXT(A22, "mmmm yyyy")</f>
        <v>June 2025</v>
      </c>
      <c r="C22" s="7" t="s">
        <v>159</v>
      </c>
      <c r="D22" s="11">
        <v>8000</v>
      </c>
      <c r="E22" s="12" t="s">
        <v>16</v>
      </c>
      <c r="F22"/>
    </row>
    <row r="23" spans="1:6" x14ac:dyDescent="0.25">
      <c r="A23" s="16">
        <v>45832</v>
      </c>
      <c r="B23" s="16" t="str">
        <f>TEXT(A23, "mmmm yyyy")</f>
        <v>June 2025</v>
      </c>
      <c r="C23" s="7" t="s">
        <v>126</v>
      </c>
      <c r="D23" s="11">
        <v>20500</v>
      </c>
      <c r="E23" s="12" t="s">
        <v>14</v>
      </c>
      <c r="F23"/>
    </row>
    <row r="24" spans="1:6" x14ac:dyDescent="0.25">
      <c r="A24" s="16">
        <v>45848</v>
      </c>
      <c r="B24" s="16" t="str">
        <f>TEXT(A24, "mmmm yyyy")</f>
        <v>July 2025</v>
      </c>
      <c r="C24" s="7" t="s">
        <v>125</v>
      </c>
      <c r="D24" s="11">
        <v>18400</v>
      </c>
      <c r="E24" s="12" t="s">
        <v>16</v>
      </c>
      <c r="F24"/>
    </row>
    <row r="25" spans="1:6" ht="71.25" x14ac:dyDescent="0.25">
      <c r="A25" s="16">
        <v>45848</v>
      </c>
      <c r="B25" s="16" t="str">
        <f>TEXT(A25, "mmmm yyyy")</f>
        <v>July 2025</v>
      </c>
      <c r="C25" s="7" t="s">
        <v>160</v>
      </c>
      <c r="D25" s="11">
        <v>8450</v>
      </c>
      <c r="E25" s="12" t="s">
        <v>16</v>
      </c>
      <c r="F25"/>
    </row>
    <row r="26" spans="1:6" ht="71.25" x14ac:dyDescent="0.25">
      <c r="A26" s="16">
        <v>45848</v>
      </c>
      <c r="B26" s="16" t="str">
        <f>TEXT(A26, "mmmm yyyy")</f>
        <v>July 2025</v>
      </c>
      <c r="C26" s="7" t="s">
        <v>161</v>
      </c>
      <c r="D26" s="11">
        <v>10000</v>
      </c>
      <c r="E26" s="12" t="s">
        <v>16</v>
      </c>
      <c r="F26"/>
    </row>
    <row r="27" spans="1:6" ht="71.25" x14ac:dyDescent="0.25">
      <c r="A27" s="16">
        <v>45848</v>
      </c>
      <c r="B27" s="16" t="str">
        <f>TEXT(A27, "mmmm yyyy")</f>
        <v>July 2025</v>
      </c>
      <c r="C27" s="7" t="s">
        <v>162</v>
      </c>
      <c r="D27" s="11">
        <v>17925</v>
      </c>
      <c r="E27" s="12" t="s">
        <v>16</v>
      </c>
      <c r="F27"/>
    </row>
    <row r="28" spans="1:6" x14ac:dyDescent="0.25">
      <c r="A28" s="16">
        <v>45849</v>
      </c>
      <c r="B28" s="16" t="str">
        <f>TEXT(A28, "mmmm yyyy")</f>
        <v>July 2025</v>
      </c>
      <c r="C28" s="7" t="s">
        <v>124</v>
      </c>
      <c r="D28" s="11">
        <v>9775</v>
      </c>
      <c r="E28" s="12" t="s">
        <v>16</v>
      </c>
      <c r="F28"/>
    </row>
    <row r="29" spans="1:6" ht="71.25" x14ac:dyDescent="0.25">
      <c r="A29" s="16">
        <v>45861</v>
      </c>
      <c r="B29" s="16" t="str">
        <f>TEXT(A29, "mmmm yyyy")</f>
        <v>July 2025</v>
      </c>
      <c r="C29" s="7" t="s">
        <v>163</v>
      </c>
      <c r="D29" s="11">
        <v>10000</v>
      </c>
      <c r="E29" s="12" t="s">
        <v>141</v>
      </c>
      <c r="F29"/>
    </row>
    <row r="30" spans="1:6" ht="71.25" x14ac:dyDescent="0.25">
      <c r="A30" s="16">
        <v>45861</v>
      </c>
      <c r="B30" s="16" t="str">
        <f>TEXT(A30, "mmmm yyyy")</f>
        <v>July 2025</v>
      </c>
      <c r="C30" s="7" t="s">
        <v>164</v>
      </c>
      <c r="D30" s="11">
        <v>5000</v>
      </c>
      <c r="E30" s="12" t="s">
        <v>15</v>
      </c>
      <c r="F30"/>
    </row>
    <row r="31" spans="1:6" ht="71.25" x14ac:dyDescent="0.25">
      <c r="A31" s="16">
        <v>45861</v>
      </c>
      <c r="B31" s="16" t="str">
        <f>TEXT(A31, "mmmm yyyy")</f>
        <v>July 2025</v>
      </c>
      <c r="C31" s="7" t="s">
        <v>165</v>
      </c>
      <c r="D31" s="11">
        <v>5000</v>
      </c>
      <c r="E31" s="12" t="s">
        <v>13</v>
      </c>
      <c r="F31"/>
    </row>
    <row r="32" spans="1:6" ht="71.25" x14ac:dyDescent="0.25">
      <c r="A32" s="16">
        <v>45861</v>
      </c>
      <c r="B32" s="16" t="str">
        <f>TEXT(A32, "mmmm yyyy")</f>
        <v>July 2025</v>
      </c>
      <c r="C32" s="7" t="s">
        <v>166</v>
      </c>
      <c r="D32" s="11">
        <v>4125</v>
      </c>
      <c r="E32" s="12" t="s">
        <v>16</v>
      </c>
      <c r="F32"/>
    </row>
    <row r="33" spans="1:6" ht="28.5" x14ac:dyDescent="0.25">
      <c r="A33" s="16">
        <v>45861</v>
      </c>
      <c r="B33" s="16" t="str">
        <f>TEXT(A33, "mmmm yyyy")</f>
        <v>July 2025</v>
      </c>
      <c r="C33" s="7" t="s">
        <v>123</v>
      </c>
      <c r="D33" s="11">
        <v>20000</v>
      </c>
      <c r="E33" s="12" t="s">
        <v>14</v>
      </c>
      <c r="F33"/>
    </row>
    <row r="34" spans="1:6" x14ac:dyDescent="0.25">
      <c r="A34" s="16">
        <v>45862</v>
      </c>
      <c r="B34" s="16" t="str">
        <f>TEXT(A34, "mmmm yyyy")</f>
        <v>July 2025</v>
      </c>
      <c r="C34" s="7" t="s">
        <v>122</v>
      </c>
      <c r="D34" s="11">
        <v>5000</v>
      </c>
      <c r="E34" s="12" t="s">
        <v>16</v>
      </c>
      <c r="F34"/>
    </row>
    <row r="35" spans="1:6" ht="28.5" x14ac:dyDescent="0.25">
      <c r="A35" s="16">
        <v>45877</v>
      </c>
      <c r="B35" s="16" t="str">
        <f>TEXT(A35, "mmmm yyyy")</f>
        <v>August 2025</v>
      </c>
      <c r="C35" s="7" t="s">
        <v>121</v>
      </c>
      <c r="D35" s="11">
        <v>13200</v>
      </c>
      <c r="E35" s="12" t="s">
        <v>141</v>
      </c>
      <c r="F35"/>
    </row>
    <row r="36" spans="1:6" ht="28.5" x14ac:dyDescent="0.25">
      <c r="A36" s="16">
        <v>45877</v>
      </c>
      <c r="B36" s="16" t="str">
        <f>TEXT(A36, "mmmm yyyy")</f>
        <v>August 2025</v>
      </c>
      <c r="C36" s="7" t="s">
        <v>120</v>
      </c>
      <c r="D36" s="11">
        <v>60975</v>
      </c>
      <c r="E36" s="12" t="s">
        <v>141</v>
      </c>
      <c r="F36"/>
    </row>
    <row r="37" spans="1:6" ht="42.75" x14ac:dyDescent="0.25">
      <c r="A37" s="16">
        <v>45884</v>
      </c>
      <c r="B37" s="16" t="str">
        <f>TEXT(A37, "mmmm yyyy")</f>
        <v>August 2025</v>
      </c>
      <c r="C37" s="7" t="s">
        <v>119</v>
      </c>
      <c r="D37" s="11">
        <v>10000</v>
      </c>
      <c r="E37" s="12" t="s">
        <v>16</v>
      </c>
      <c r="F37"/>
    </row>
    <row r="38" spans="1:6" ht="28.5" x14ac:dyDescent="0.25">
      <c r="A38" s="16">
        <v>45892</v>
      </c>
      <c r="B38" s="16" t="str">
        <f>TEXT(A38, "mmmm yyyy")</f>
        <v>August 2025</v>
      </c>
      <c r="C38" s="7" t="s">
        <v>118</v>
      </c>
      <c r="D38" s="11">
        <v>10000</v>
      </c>
      <c r="E38" s="12" t="s">
        <v>16</v>
      </c>
      <c r="F38"/>
    </row>
    <row r="39" spans="1:6" ht="28.5" x14ac:dyDescent="0.25">
      <c r="A39" s="16">
        <v>45893</v>
      </c>
      <c r="B39" s="16" t="str">
        <f>TEXT(A39, "mmmm yyyy")</f>
        <v>August 2025</v>
      </c>
      <c r="C39" s="7" t="s">
        <v>117</v>
      </c>
      <c r="D39" s="11">
        <v>10000</v>
      </c>
      <c r="E39" s="12" t="s">
        <v>16</v>
      </c>
      <c r="F39"/>
    </row>
    <row r="40" spans="1:6" ht="28.5" x14ac:dyDescent="0.25">
      <c r="A40" s="16">
        <v>45895</v>
      </c>
      <c r="B40" s="16" t="str">
        <f>TEXT(A40, "mmmm yyyy")</f>
        <v>August 2025</v>
      </c>
      <c r="C40" s="7" t="s">
        <v>116</v>
      </c>
      <c r="D40" s="11">
        <v>10000</v>
      </c>
      <c r="E40" s="12" t="s">
        <v>16</v>
      </c>
      <c r="F40"/>
    </row>
    <row r="41" spans="1:6" ht="42.75" x14ac:dyDescent="0.25">
      <c r="A41" s="16">
        <v>45895</v>
      </c>
      <c r="B41" s="16" t="str">
        <f>TEXT(A41, "mmmm yyyy")</f>
        <v>August 2025</v>
      </c>
      <c r="C41" s="7" t="s">
        <v>115</v>
      </c>
      <c r="D41" s="11">
        <v>10000</v>
      </c>
      <c r="E41" s="12" t="s">
        <v>142</v>
      </c>
      <c r="F41"/>
    </row>
    <row r="42" spans="1:6" ht="57" x14ac:dyDescent="0.25">
      <c r="A42" s="16">
        <v>45896</v>
      </c>
      <c r="B42" s="16" t="str">
        <f>TEXT(A42, "mmmm yyyy")</f>
        <v>August 2025</v>
      </c>
      <c r="C42" s="7" t="s">
        <v>114</v>
      </c>
      <c r="D42" s="11">
        <v>7000</v>
      </c>
      <c r="E42" s="12" t="s">
        <v>146</v>
      </c>
      <c r="F42"/>
    </row>
    <row r="43" spans="1:6" ht="42.75" x14ac:dyDescent="0.25">
      <c r="A43" s="16">
        <v>45910</v>
      </c>
      <c r="B43" s="16" t="str">
        <f>TEXT(A43, "mmmm yyyy")</f>
        <v>September 2025</v>
      </c>
      <c r="C43" s="7" t="s">
        <v>113</v>
      </c>
      <c r="D43" s="11">
        <v>13000</v>
      </c>
      <c r="E43" s="12" t="s">
        <v>13</v>
      </c>
      <c r="F43"/>
    </row>
    <row r="44" spans="1:6" ht="42.75" x14ac:dyDescent="0.25">
      <c r="A44" s="16">
        <v>45910</v>
      </c>
      <c r="B44" s="16" t="str">
        <f>TEXT(A44, "mmmm yyyy")</f>
        <v>September 2025</v>
      </c>
      <c r="C44" s="7" t="s">
        <v>112</v>
      </c>
      <c r="D44" s="11">
        <v>12500</v>
      </c>
      <c r="E44" s="12" t="s">
        <v>15</v>
      </c>
      <c r="F44"/>
    </row>
    <row r="45" spans="1:6" x14ac:dyDescent="0.25">
      <c r="A45" s="16">
        <v>45910</v>
      </c>
      <c r="B45" s="16" t="str">
        <f>TEXT(A45, "mmmm yyyy")</f>
        <v>September 2025</v>
      </c>
      <c r="C45" s="7" t="s">
        <v>111</v>
      </c>
      <c r="D45" s="11">
        <v>61100</v>
      </c>
      <c r="E45" s="12" t="s">
        <v>16</v>
      </c>
      <c r="F45"/>
    </row>
    <row r="46" spans="1:6" ht="42.75" x14ac:dyDescent="0.25">
      <c r="A46" s="16">
        <v>45911</v>
      </c>
      <c r="B46" s="16" t="str">
        <f>TEXT(A46, "mmmm yyyy")</f>
        <v>September 2025</v>
      </c>
      <c r="C46" s="7" t="s">
        <v>110</v>
      </c>
      <c r="D46" s="11">
        <v>20000</v>
      </c>
      <c r="E46" s="12" t="s">
        <v>14</v>
      </c>
      <c r="F46"/>
    </row>
    <row r="47" spans="1:6" ht="42.75" x14ac:dyDescent="0.25">
      <c r="A47" s="16">
        <v>45923</v>
      </c>
      <c r="B47" s="16" t="str">
        <f>TEXT(A47, "mmmm yyyy")</f>
        <v>September 2025</v>
      </c>
      <c r="C47" s="7" t="s">
        <v>109</v>
      </c>
      <c r="D47" s="11">
        <v>5000</v>
      </c>
      <c r="E47" s="12" t="s">
        <v>13</v>
      </c>
      <c r="F47"/>
    </row>
    <row r="48" spans="1:6" ht="42.75" x14ac:dyDescent="0.25">
      <c r="A48" s="16">
        <v>45923</v>
      </c>
      <c r="B48" s="16" t="str">
        <f>TEXT(A48, "mmmm yyyy")</f>
        <v>September 2025</v>
      </c>
      <c r="C48" s="7" t="s">
        <v>144</v>
      </c>
      <c r="D48" s="11">
        <v>5000</v>
      </c>
      <c r="E48" s="12" t="s">
        <v>145</v>
      </c>
      <c r="F48"/>
    </row>
    <row r="49" spans="1:6" ht="42.75" x14ac:dyDescent="0.25">
      <c r="A49" s="16">
        <v>45923</v>
      </c>
      <c r="B49" s="16" t="str">
        <f>TEXT(A49, "mmmm yyyy")</f>
        <v>September 2025</v>
      </c>
      <c r="C49" s="7" t="s">
        <v>108</v>
      </c>
      <c r="D49" s="11">
        <v>5000</v>
      </c>
      <c r="E49" s="12" t="s">
        <v>141</v>
      </c>
      <c r="F49"/>
    </row>
    <row r="50" spans="1:6" ht="42.75" x14ac:dyDescent="0.25">
      <c r="A50" s="16">
        <v>45923</v>
      </c>
      <c r="B50" s="16" t="str">
        <f>TEXT(A50, "mmmm yyyy")</f>
        <v>September 2025</v>
      </c>
      <c r="C50" s="7" t="s">
        <v>107</v>
      </c>
      <c r="D50" s="11">
        <v>5000</v>
      </c>
      <c r="E50" s="12" t="s">
        <v>15</v>
      </c>
      <c r="F50"/>
    </row>
    <row r="51" spans="1:6" ht="42.75" x14ac:dyDescent="0.25">
      <c r="A51" s="16">
        <v>45923</v>
      </c>
      <c r="B51" s="16" t="str">
        <f>TEXT(A51, "mmmm yyyy")</f>
        <v>September 2025</v>
      </c>
      <c r="C51" s="7" t="s">
        <v>107</v>
      </c>
      <c r="D51" s="11">
        <v>5000</v>
      </c>
      <c r="E51" s="12" t="s">
        <v>15</v>
      </c>
      <c r="F51"/>
    </row>
    <row r="52" spans="1:6" ht="42.75" x14ac:dyDescent="0.25">
      <c r="A52" s="16">
        <v>45923</v>
      </c>
      <c r="B52" s="16" t="str">
        <f>TEXT(A52, "mmmm yyyy")</f>
        <v>September 2025</v>
      </c>
      <c r="C52" s="7" t="s">
        <v>106</v>
      </c>
      <c r="D52" s="11">
        <v>5000</v>
      </c>
      <c r="E52" s="12" t="s">
        <v>142</v>
      </c>
      <c r="F52"/>
    </row>
    <row r="53" spans="1:6" ht="42.75" x14ac:dyDescent="0.25">
      <c r="A53" s="16">
        <v>45923</v>
      </c>
      <c r="B53" s="16" t="str">
        <f>TEXT(A53, "mmmm yyyy")</f>
        <v>September 2025</v>
      </c>
      <c r="C53" s="7" t="s">
        <v>105</v>
      </c>
      <c r="D53" s="11">
        <v>5000</v>
      </c>
      <c r="E53" s="12" t="s">
        <v>143</v>
      </c>
      <c r="F53"/>
    </row>
    <row r="54" spans="1:6" ht="42.75" x14ac:dyDescent="0.25">
      <c r="A54" s="16">
        <v>45923</v>
      </c>
      <c r="B54" s="16" t="str">
        <f>TEXT(A54, "mmmm yyyy")</f>
        <v>September 2025</v>
      </c>
      <c r="C54" s="7" t="s">
        <v>104</v>
      </c>
      <c r="D54" s="11">
        <v>10000</v>
      </c>
      <c r="E54" s="12" t="s">
        <v>14</v>
      </c>
      <c r="F54"/>
    </row>
    <row r="55" spans="1:6" ht="42.75" x14ac:dyDescent="0.25">
      <c r="A55" s="16">
        <v>45923</v>
      </c>
      <c r="B55" s="16" t="str">
        <f>TEXT(A55, "mmmm yyyy")</f>
        <v>September 2025</v>
      </c>
      <c r="C55" s="7" t="s">
        <v>103</v>
      </c>
      <c r="D55" s="11">
        <v>10000</v>
      </c>
      <c r="E55" s="12" t="s">
        <v>14</v>
      </c>
      <c r="F55"/>
    </row>
    <row r="56" spans="1:6" ht="42.75" x14ac:dyDescent="0.25">
      <c r="A56" s="16">
        <v>45923</v>
      </c>
      <c r="B56" s="16" t="str">
        <f>TEXT(A56, "mmmm yyyy")</f>
        <v>September 2025</v>
      </c>
      <c r="C56" s="7" t="s">
        <v>102</v>
      </c>
      <c r="D56" s="11">
        <v>11200</v>
      </c>
      <c r="E56" s="12" t="s">
        <v>147</v>
      </c>
      <c r="F56"/>
    </row>
    <row r="57" spans="1:6" ht="42.75" x14ac:dyDescent="0.25">
      <c r="A57" s="16">
        <v>45923</v>
      </c>
      <c r="B57" s="16" t="str">
        <f>TEXT(A57, "mmmm yyyy")</f>
        <v>September 2025</v>
      </c>
      <c r="C57" s="7" t="s">
        <v>101</v>
      </c>
      <c r="D57" s="11">
        <v>5300</v>
      </c>
      <c r="E57" s="12" t="s">
        <v>15</v>
      </c>
      <c r="F57"/>
    </row>
    <row r="58" spans="1:6" ht="42.75" x14ac:dyDescent="0.25">
      <c r="A58" s="16">
        <v>45938</v>
      </c>
      <c r="B58" s="16" t="str">
        <f>TEXT(A58, "mmmm yyyy")</f>
        <v>October 2025</v>
      </c>
      <c r="C58" s="7" t="s">
        <v>100</v>
      </c>
      <c r="D58" s="11">
        <v>10150</v>
      </c>
      <c r="E58" s="12" t="s">
        <v>141</v>
      </c>
      <c r="F58"/>
    </row>
    <row r="59" spans="1:6" ht="42.75" x14ac:dyDescent="0.25">
      <c r="A59" s="16">
        <v>45938</v>
      </c>
      <c r="B59" s="16" t="str">
        <f>TEXT(A59, "mmmm yyyy")</f>
        <v>October 2025</v>
      </c>
      <c r="C59" s="7" t="s">
        <v>99</v>
      </c>
      <c r="D59" s="11">
        <v>13200</v>
      </c>
      <c r="E59" s="12" t="s">
        <v>142</v>
      </c>
      <c r="F59"/>
    </row>
    <row r="60" spans="1:6" ht="42.75" x14ac:dyDescent="0.25">
      <c r="A60" s="16">
        <v>45938</v>
      </c>
      <c r="B60" s="16" t="str">
        <f>TEXT(A60, "mmmm yyyy")</f>
        <v>October 2025</v>
      </c>
      <c r="C60" s="7" t="s">
        <v>98</v>
      </c>
      <c r="D60" s="11">
        <v>12325</v>
      </c>
      <c r="E60" s="12" t="s">
        <v>143</v>
      </c>
      <c r="F60"/>
    </row>
    <row r="61" spans="1:6" ht="42.75" x14ac:dyDescent="0.25">
      <c r="A61" s="16">
        <v>45938</v>
      </c>
      <c r="B61" s="16" t="str">
        <f>TEXT(A61, "mmmm yyyy")</f>
        <v>October 2025</v>
      </c>
      <c r="C61" s="7" t="s">
        <v>97</v>
      </c>
      <c r="D61" s="11">
        <v>13850</v>
      </c>
      <c r="E61" s="12" t="s">
        <v>148</v>
      </c>
      <c r="F61"/>
    </row>
    <row r="62" spans="1:6" ht="42.75" x14ac:dyDescent="0.25">
      <c r="A62" s="16">
        <v>45938</v>
      </c>
      <c r="B62" s="16" t="str">
        <f>TEXT(A62, "mmmm yyyy")</f>
        <v>October 2025</v>
      </c>
      <c r="C62" s="7" t="s">
        <v>96</v>
      </c>
      <c r="D62" s="11">
        <v>13850</v>
      </c>
      <c r="E62" s="12" t="s">
        <v>13</v>
      </c>
      <c r="F62"/>
    </row>
    <row r="63" spans="1:6" ht="42.75" x14ac:dyDescent="0.25">
      <c r="A63" s="16">
        <v>45938</v>
      </c>
      <c r="B63" s="16" t="str">
        <f>TEXT(A63, "mmmm yyyy")</f>
        <v>October 2025</v>
      </c>
      <c r="C63" s="7" t="s">
        <v>95</v>
      </c>
      <c r="D63" s="11">
        <v>14825</v>
      </c>
      <c r="E63" s="12" t="s">
        <v>15</v>
      </c>
      <c r="F63"/>
    </row>
    <row r="64" spans="1:6" ht="42.75" x14ac:dyDescent="0.25">
      <c r="A64" s="16">
        <v>45938</v>
      </c>
      <c r="B64" s="16" t="str">
        <f>TEXT(A64, "mmmm yyyy")</f>
        <v>October 2025</v>
      </c>
      <c r="C64" s="7" t="s">
        <v>94</v>
      </c>
      <c r="D64" s="11">
        <v>12000</v>
      </c>
      <c r="E64" s="12" t="s">
        <v>145</v>
      </c>
      <c r="F64"/>
    </row>
    <row r="65" spans="1:6" ht="42.75" x14ac:dyDescent="0.25">
      <c r="A65" s="16">
        <v>45938</v>
      </c>
      <c r="B65" s="16" t="str">
        <f>TEXT(A65, "mmmm yyyy")</f>
        <v>October 2025</v>
      </c>
      <c r="C65" s="7" t="s">
        <v>93</v>
      </c>
      <c r="D65" s="11">
        <v>9300</v>
      </c>
      <c r="E65" s="12" t="s">
        <v>14</v>
      </c>
      <c r="F65"/>
    </row>
    <row r="66" spans="1:6" ht="42.75" x14ac:dyDescent="0.25">
      <c r="A66" s="16">
        <v>45939</v>
      </c>
      <c r="B66" s="16" t="str">
        <f>TEXT(A66, "mmmm yyyy")</f>
        <v>October 2025</v>
      </c>
      <c r="C66" s="7" t="s">
        <v>92</v>
      </c>
      <c r="D66" s="11">
        <v>15000</v>
      </c>
      <c r="E66" s="12" t="s">
        <v>14</v>
      </c>
      <c r="F66"/>
    </row>
    <row r="67" spans="1:6" ht="42.75" x14ac:dyDescent="0.25">
      <c r="A67" s="16">
        <v>45940</v>
      </c>
      <c r="B67" s="16" t="str">
        <f>TEXT(A67, "mmmm yyyy")</f>
        <v>October 2025</v>
      </c>
      <c r="C67" s="7" t="s">
        <v>91</v>
      </c>
      <c r="D67" s="11">
        <v>5000</v>
      </c>
      <c r="E67" s="12" t="s">
        <v>14</v>
      </c>
      <c r="F67"/>
    </row>
    <row r="68" spans="1:6" ht="28.5" x14ac:dyDescent="0.25">
      <c r="A68" s="16">
        <v>45948</v>
      </c>
      <c r="B68" s="16" t="str">
        <f>TEXT(A68, "mmmm yyyy")</f>
        <v>October 2025</v>
      </c>
      <c r="C68" s="7" t="s">
        <v>90</v>
      </c>
      <c r="D68" s="11">
        <v>71500</v>
      </c>
      <c r="E68" s="12" t="s">
        <v>16</v>
      </c>
      <c r="F68"/>
    </row>
    <row r="69" spans="1:6" ht="42.75" x14ac:dyDescent="0.25">
      <c r="A69" s="16">
        <v>45956</v>
      </c>
      <c r="B69" s="16" t="str">
        <f>TEXT(A69, "mmmm yyyy")</f>
        <v>October 2025</v>
      </c>
      <c r="C69" s="7" t="s">
        <v>89</v>
      </c>
      <c r="D69" s="11">
        <v>2500</v>
      </c>
      <c r="E69" s="12" t="s">
        <v>14</v>
      </c>
      <c r="F69"/>
    </row>
    <row r="70" spans="1:6" ht="42.75" x14ac:dyDescent="0.25">
      <c r="A70" s="16">
        <v>45965</v>
      </c>
      <c r="B70" s="16" t="str">
        <f>TEXT(A70, "mmmm yyyy")</f>
        <v>November 2025</v>
      </c>
      <c r="C70" s="7" t="s">
        <v>88</v>
      </c>
      <c r="D70" s="11">
        <v>13850</v>
      </c>
      <c r="E70" s="12" t="s">
        <v>141</v>
      </c>
      <c r="F70"/>
    </row>
    <row r="71" spans="1:6" ht="28.5" x14ac:dyDescent="0.25">
      <c r="A71" s="16">
        <v>45965</v>
      </c>
      <c r="B71" s="16" t="str">
        <f>TEXT(A71, "mmmm yyyy")</f>
        <v>November 2025</v>
      </c>
      <c r="C71" s="7" t="s">
        <v>87</v>
      </c>
      <c r="D71" s="11">
        <v>82575</v>
      </c>
      <c r="E71" s="12" t="s">
        <v>16</v>
      </c>
      <c r="F71"/>
    </row>
    <row r="72" spans="1:6" ht="42.75" x14ac:dyDescent="0.25">
      <c r="A72" s="16">
        <v>45977</v>
      </c>
      <c r="B72" s="16" t="str">
        <f>TEXT(A72, "mmmm yyyy")</f>
        <v>November 2025</v>
      </c>
      <c r="C72" s="7" t="s">
        <v>86</v>
      </c>
      <c r="D72" s="11">
        <v>50000</v>
      </c>
      <c r="E72" s="12" t="s">
        <v>16</v>
      </c>
      <c r="F72"/>
    </row>
    <row r="73" spans="1:6" ht="42.75" x14ac:dyDescent="0.25">
      <c r="A73" s="16">
        <v>45977</v>
      </c>
      <c r="B73" s="16" t="str">
        <f>TEXT(A73, "mmmm yyyy")</f>
        <v>November 2025</v>
      </c>
      <c r="C73" s="7" t="s">
        <v>85</v>
      </c>
      <c r="D73" s="11">
        <v>50000</v>
      </c>
      <c r="E73" s="12" t="s">
        <v>16</v>
      </c>
      <c r="F73"/>
    </row>
    <row r="74" spans="1:6" ht="42.75" x14ac:dyDescent="0.25">
      <c r="A74" s="16">
        <v>45978</v>
      </c>
      <c r="B74" s="16" t="str">
        <f>TEXT(A74, "mmmm yyyy")</f>
        <v>November 2025</v>
      </c>
      <c r="C74" s="7" t="s">
        <v>84</v>
      </c>
      <c r="D74" s="11">
        <v>50000</v>
      </c>
      <c r="E74" s="12" t="s">
        <v>14</v>
      </c>
      <c r="F74"/>
    </row>
    <row r="75" spans="1:6" ht="42.75" x14ac:dyDescent="0.25">
      <c r="A75" s="16">
        <v>45978</v>
      </c>
      <c r="B75" s="16" t="str">
        <f>TEXT(A75, "mmmm yyyy")</f>
        <v>November 2025</v>
      </c>
      <c r="C75" s="7" t="s">
        <v>83</v>
      </c>
      <c r="D75" s="11">
        <v>25000</v>
      </c>
      <c r="E75" s="12" t="s">
        <v>14</v>
      </c>
      <c r="F75"/>
    </row>
    <row r="76" spans="1:6" ht="42.75" x14ac:dyDescent="0.25">
      <c r="A76" s="16">
        <v>45979</v>
      </c>
      <c r="B76" s="16" t="str">
        <f>TEXT(A76, "mmmm yyyy")</f>
        <v>November 2025</v>
      </c>
      <c r="C76" s="7" t="s">
        <v>82</v>
      </c>
      <c r="D76" s="11">
        <v>25000</v>
      </c>
      <c r="E76" s="12" t="s">
        <v>16</v>
      </c>
      <c r="F76"/>
    </row>
    <row r="77" spans="1:6" ht="42.75" x14ac:dyDescent="0.25">
      <c r="A77" s="16">
        <v>45980</v>
      </c>
      <c r="B77" s="16" t="str">
        <f>TEXT(A77, "mmmm yyyy")</f>
        <v>November 2025</v>
      </c>
      <c r="C77" s="7" t="s">
        <v>81</v>
      </c>
      <c r="D77" s="11">
        <v>15000</v>
      </c>
      <c r="E77" s="12" t="s">
        <v>16</v>
      </c>
      <c r="F77"/>
    </row>
    <row r="78" spans="1:6" ht="42.75" x14ac:dyDescent="0.25">
      <c r="A78" s="16">
        <v>45982</v>
      </c>
      <c r="B78" s="16" t="str">
        <f>TEXT(A78, "mmmm yyyy")</f>
        <v>November 2025</v>
      </c>
      <c r="C78" s="7" t="s">
        <v>80</v>
      </c>
      <c r="D78" s="11">
        <v>25000</v>
      </c>
      <c r="E78" s="12" t="s">
        <v>145</v>
      </c>
      <c r="F78"/>
    </row>
    <row r="79" spans="1:6" ht="57" x14ac:dyDescent="0.25">
      <c r="A79" s="16">
        <v>45982</v>
      </c>
      <c r="B79" s="16" t="str">
        <f>TEXT(A79, "mmmm yyyy")</f>
        <v>November 2025</v>
      </c>
      <c r="C79" s="7" t="s">
        <v>79</v>
      </c>
      <c r="D79" s="11">
        <v>32400</v>
      </c>
      <c r="E79" s="12" t="s">
        <v>149</v>
      </c>
      <c r="F79"/>
    </row>
    <row r="80" spans="1:6" ht="42.75" x14ac:dyDescent="0.25">
      <c r="A80" s="16">
        <v>45983</v>
      </c>
      <c r="B80" s="16" t="str">
        <f>TEXT(A80, "mmmm yyyy")</f>
        <v>November 2025</v>
      </c>
      <c r="C80" s="7" t="s">
        <v>78</v>
      </c>
      <c r="D80" s="11">
        <v>5000</v>
      </c>
      <c r="E80" s="12" t="s">
        <v>16</v>
      </c>
      <c r="F80"/>
    </row>
    <row r="81" spans="1:6" ht="28.5" x14ac:dyDescent="0.25">
      <c r="A81" s="16">
        <v>45985</v>
      </c>
      <c r="B81" s="16" t="str">
        <f>TEXT(A81, "mmmm yyyy")</f>
        <v>November 2025</v>
      </c>
      <c r="C81" s="7" t="s">
        <v>77</v>
      </c>
      <c r="D81" s="11">
        <v>65000</v>
      </c>
      <c r="E81" s="12" t="s">
        <v>16</v>
      </c>
      <c r="F81"/>
    </row>
    <row r="82" spans="1:6" ht="42.75" x14ac:dyDescent="0.25">
      <c r="A82" s="16">
        <v>45991</v>
      </c>
      <c r="B82" s="16" t="str">
        <f>TEXT(A82, "mmmm yyyy")</f>
        <v>November 2025</v>
      </c>
      <c r="C82" s="7" t="s">
        <v>76</v>
      </c>
      <c r="D82" s="11">
        <v>1000</v>
      </c>
      <c r="E82" s="12" t="s">
        <v>145</v>
      </c>
      <c r="F82"/>
    </row>
    <row r="83" spans="1:6" ht="42.75" x14ac:dyDescent="0.25">
      <c r="A83" s="16">
        <v>45994</v>
      </c>
      <c r="B83" s="16" t="str">
        <f>TEXT(A83, "mmmm yyyy")</f>
        <v>December 2025</v>
      </c>
      <c r="C83" s="7" t="s">
        <v>75</v>
      </c>
      <c r="D83" s="11">
        <v>10000</v>
      </c>
      <c r="E83" s="12" t="s">
        <v>153</v>
      </c>
      <c r="F83"/>
    </row>
    <row r="84" spans="1:6" ht="42.75" x14ac:dyDescent="0.25">
      <c r="A84" s="16">
        <v>46001</v>
      </c>
      <c r="B84" s="16" t="str">
        <f>TEXT(A84, "mmmm yyyy")</f>
        <v>December 2025</v>
      </c>
      <c r="C84" s="7" t="s">
        <v>74</v>
      </c>
      <c r="D84" s="11">
        <v>12080</v>
      </c>
      <c r="E84" s="12" t="s">
        <v>143</v>
      </c>
      <c r="F84"/>
    </row>
    <row r="85" spans="1:6" ht="42.75" x14ac:dyDescent="0.25">
      <c r="A85" s="16">
        <v>46001</v>
      </c>
      <c r="B85" s="16" t="str">
        <f>TEXT(A85, "mmmm yyyy")</f>
        <v>December 2025</v>
      </c>
      <c r="C85" s="7" t="s">
        <v>73</v>
      </c>
      <c r="D85" s="11">
        <v>21080</v>
      </c>
      <c r="E85" s="12" t="s">
        <v>141</v>
      </c>
      <c r="F85"/>
    </row>
    <row r="86" spans="1:6" ht="42.75" x14ac:dyDescent="0.25">
      <c r="A86" s="16">
        <v>46001</v>
      </c>
      <c r="B86" s="16" t="str">
        <f>TEXT(A86, "mmmm yyyy")</f>
        <v>December 2025</v>
      </c>
      <c r="C86" s="7" t="s">
        <v>72</v>
      </c>
      <c r="D86" s="11">
        <v>20420</v>
      </c>
      <c r="E86" s="12" t="s">
        <v>145</v>
      </c>
      <c r="F86"/>
    </row>
    <row r="87" spans="1:6" ht="57" x14ac:dyDescent="0.25">
      <c r="A87" s="16">
        <v>46001</v>
      </c>
      <c r="B87" s="16" t="str">
        <f>TEXT(A87, "mmmm yyyy")</f>
        <v>December 2025</v>
      </c>
      <c r="C87" s="7" t="s">
        <v>71</v>
      </c>
      <c r="D87" s="11">
        <v>15740</v>
      </c>
      <c r="E87" s="12" t="s">
        <v>13</v>
      </c>
      <c r="F87"/>
    </row>
    <row r="88" spans="1:6" ht="42.75" x14ac:dyDescent="0.25">
      <c r="A88" s="16">
        <v>46001</v>
      </c>
      <c r="B88" s="16" t="str">
        <f>TEXT(A88, "mmmm yyyy")</f>
        <v>December 2025</v>
      </c>
      <c r="C88" s="7" t="s">
        <v>70</v>
      </c>
      <c r="D88" s="11">
        <v>15740</v>
      </c>
      <c r="E88" s="12" t="s">
        <v>15</v>
      </c>
      <c r="F88"/>
    </row>
    <row r="89" spans="1:6" ht="42.75" x14ac:dyDescent="0.25">
      <c r="A89" s="16">
        <v>46001</v>
      </c>
      <c r="B89" s="16" t="str">
        <f>TEXT(A89, "mmmm yyyy")</f>
        <v>December 2025</v>
      </c>
      <c r="C89" s="7" t="s">
        <v>70</v>
      </c>
      <c r="D89" s="11">
        <v>11500</v>
      </c>
      <c r="E89" s="12" t="s">
        <v>15</v>
      </c>
      <c r="F89"/>
    </row>
    <row r="90" spans="1:6" ht="42.75" x14ac:dyDescent="0.25">
      <c r="A90" s="16">
        <v>46002</v>
      </c>
      <c r="B90" s="16" t="str">
        <f>TEXT(A90, "mmmm yyyy")</f>
        <v>December 2025</v>
      </c>
      <c r="C90" s="7" t="s">
        <v>69</v>
      </c>
      <c r="D90" s="11">
        <v>9200</v>
      </c>
      <c r="E90" s="12" t="s">
        <v>150</v>
      </c>
      <c r="F90"/>
    </row>
    <row r="91" spans="1:6" ht="42.75" x14ac:dyDescent="0.25">
      <c r="A91" s="16">
        <v>46004</v>
      </c>
      <c r="B91" s="16" t="str">
        <f>TEXT(A91, "mmmm yyyy")</f>
        <v>December 2025</v>
      </c>
      <c r="C91" s="7" t="s">
        <v>68</v>
      </c>
      <c r="D91" s="11">
        <v>10600</v>
      </c>
      <c r="E91" s="12" t="s">
        <v>151</v>
      </c>
      <c r="F91"/>
    </row>
    <row r="92" spans="1:6" ht="42.75" x14ac:dyDescent="0.25">
      <c r="A92" s="16">
        <v>46004</v>
      </c>
      <c r="B92" s="16" t="str">
        <f>TEXT(A92, "mmmm yyyy")</f>
        <v>December 2025</v>
      </c>
      <c r="C92" s="7" t="s">
        <v>67</v>
      </c>
      <c r="D92" s="11">
        <v>2000</v>
      </c>
      <c r="E92" s="12" t="s">
        <v>153</v>
      </c>
      <c r="F92"/>
    </row>
    <row r="93" spans="1:6" ht="42.75" x14ac:dyDescent="0.25">
      <c r="A93" s="16">
        <v>46013</v>
      </c>
      <c r="B93" s="16" t="str">
        <f>TEXT(A93, "mmmm yyyy")</f>
        <v>December 2025</v>
      </c>
      <c r="C93" s="7" t="s">
        <v>66</v>
      </c>
      <c r="D93" s="11">
        <v>20000</v>
      </c>
      <c r="E93" s="12" t="s">
        <v>153</v>
      </c>
      <c r="F93"/>
    </row>
    <row r="94" spans="1:6" ht="42.75" x14ac:dyDescent="0.25">
      <c r="A94" s="16">
        <v>46014</v>
      </c>
      <c r="B94" s="16" t="str">
        <f>TEXT(A94, "mmmm yyyy")</f>
        <v>December 2025</v>
      </c>
      <c r="C94" s="7" t="s">
        <v>65</v>
      </c>
      <c r="D94" s="11">
        <v>5000</v>
      </c>
      <c r="E94" s="12" t="s">
        <v>13</v>
      </c>
      <c r="F94"/>
    </row>
    <row r="95" spans="1:6" ht="42.75" x14ac:dyDescent="0.25">
      <c r="A95" s="16">
        <v>46014</v>
      </c>
      <c r="B95" s="16" t="str">
        <f>TEXT(A95, "mmmm yyyy")</f>
        <v>December 2025</v>
      </c>
      <c r="C95" s="7" t="s">
        <v>64</v>
      </c>
      <c r="D95" s="11">
        <v>5000</v>
      </c>
      <c r="E95" s="12" t="s">
        <v>15</v>
      </c>
      <c r="F95"/>
    </row>
    <row r="96" spans="1:6" ht="42.75" x14ac:dyDescent="0.25">
      <c r="A96" s="16">
        <v>46014</v>
      </c>
      <c r="B96" s="16" t="str">
        <f>TEXT(A96, "mmmm yyyy")</f>
        <v>December 2025</v>
      </c>
      <c r="C96" s="7" t="s">
        <v>63</v>
      </c>
      <c r="D96" s="11">
        <v>5000</v>
      </c>
      <c r="E96" s="12" t="s">
        <v>150</v>
      </c>
      <c r="F96"/>
    </row>
    <row r="97" spans="1:6" ht="42.75" x14ac:dyDescent="0.25">
      <c r="A97" s="16">
        <v>46014</v>
      </c>
      <c r="B97" s="16" t="str">
        <f>TEXT(A97, "mmmm yyyy")</f>
        <v>December 2025</v>
      </c>
      <c r="C97" s="7" t="s">
        <v>62</v>
      </c>
      <c r="D97" s="11">
        <v>5000</v>
      </c>
      <c r="E97" s="12" t="s">
        <v>145</v>
      </c>
      <c r="F97"/>
    </row>
    <row r="98" spans="1:6" ht="42.75" x14ac:dyDescent="0.25">
      <c r="A98" s="16">
        <v>46014</v>
      </c>
      <c r="B98" s="16" t="str">
        <f>TEXT(A98, "mmmm yyyy")</f>
        <v>December 2025</v>
      </c>
      <c r="C98" s="7" t="s">
        <v>61</v>
      </c>
      <c r="D98" s="11">
        <v>5000</v>
      </c>
      <c r="E98" s="12" t="s">
        <v>141</v>
      </c>
      <c r="F98"/>
    </row>
    <row r="99" spans="1:6" ht="42.75" x14ac:dyDescent="0.25">
      <c r="A99" s="16">
        <v>46014</v>
      </c>
      <c r="B99" s="16" t="str">
        <f>TEXT(A99, "mmmm yyyy")</f>
        <v>December 2025</v>
      </c>
      <c r="C99" s="7" t="s">
        <v>60</v>
      </c>
      <c r="D99" s="11">
        <v>5000</v>
      </c>
      <c r="E99" s="12" t="s">
        <v>148</v>
      </c>
      <c r="F99"/>
    </row>
    <row r="100" spans="1:6" ht="42.75" x14ac:dyDescent="0.25">
      <c r="A100" s="16">
        <v>46014</v>
      </c>
      <c r="B100" s="16" t="str">
        <f>TEXT(A100, "mmmm yyyy")</f>
        <v>December 2025</v>
      </c>
      <c r="C100" s="7" t="s">
        <v>59</v>
      </c>
      <c r="D100" s="11">
        <v>5000</v>
      </c>
      <c r="E100" s="12" t="s">
        <v>143</v>
      </c>
      <c r="F100"/>
    </row>
    <row r="101" spans="1:6" ht="42.75" x14ac:dyDescent="0.25">
      <c r="A101" s="16">
        <v>46014</v>
      </c>
      <c r="B101" s="16" t="str">
        <f>TEXT(A101, "mmmm yyyy")</f>
        <v>December 2025</v>
      </c>
      <c r="C101" s="7" t="s">
        <v>58</v>
      </c>
      <c r="D101" s="11">
        <v>5000</v>
      </c>
      <c r="E101" s="12" t="s">
        <v>147</v>
      </c>
      <c r="F101"/>
    </row>
    <row r="102" spans="1:6" ht="42.75" x14ac:dyDescent="0.25">
      <c r="A102" s="16">
        <v>46014</v>
      </c>
      <c r="B102" s="16" t="str">
        <f>TEXT(A102, "mmmm yyyy")</f>
        <v>December 2025</v>
      </c>
      <c r="C102" s="7" t="s">
        <v>57</v>
      </c>
      <c r="D102" s="11">
        <v>5000</v>
      </c>
      <c r="E102" s="12" t="s">
        <v>151</v>
      </c>
      <c r="F102"/>
    </row>
    <row r="103" spans="1:6" ht="42.75" x14ac:dyDescent="0.25">
      <c r="A103" s="16">
        <v>46017</v>
      </c>
      <c r="B103" s="16" t="str">
        <f>TEXT(A103, "mmmm yyyy")</f>
        <v>December 2025</v>
      </c>
      <c r="C103" s="7" t="s">
        <v>56</v>
      </c>
      <c r="D103" s="11">
        <v>5640</v>
      </c>
      <c r="E103" s="12" t="s">
        <v>141</v>
      </c>
      <c r="F103"/>
    </row>
    <row r="104" spans="1:6" ht="42.75" x14ac:dyDescent="0.25">
      <c r="A104" s="16">
        <v>46017</v>
      </c>
      <c r="B104" s="16" t="str">
        <f>TEXT(A104, "mmmm yyyy")</f>
        <v>December 2025</v>
      </c>
      <c r="C104" s="7" t="s">
        <v>55</v>
      </c>
      <c r="D104" s="11">
        <v>11000</v>
      </c>
      <c r="E104" s="12" t="s">
        <v>15</v>
      </c>
      <c r="F104"/>
    </row>
    <row r="105" spans="1:6" ht="42.75" x14ac:dyDescent="0.25">
      <c r="A105" s="16">
        <v>46028</v>
      </c>
      <c r="B105" s="16" t="str">
        <f>TEXT(A105, "mmmm yyyy")</f>
        <v>January 2026</v>
      </c>
      <c r="C105" s="7" t="s">
        <v>54</v>
      </c>
      <c r="D105" s="11">
        <v>3000</v>
      </c>
      <c r="E105" s="12" t="s">
        <v>153</v>
      </c>
      <c r="F105"/>
    </row>
    <row r="106" spans="1:6" ht="42.75" x14ac:dyDescent="0.25">
      <c r="A106" s="16">
        <v>46028</v>
      </c>
      <c r="B106" s="16" t="str">
        <f>TEXT(A106, "mmmm yyyy")</f>
        <v>January 2026</v>
      </c>
      <c r="C106" s="7" t="s">
        <v>53</v>
      </c>
      <c r="D106" s="11">
        <v>1520</v>
      </c>
      <c r="E106" s="12" t="s">
        <v>143</v>
      </c>
      <c r="F106"/>
    </row>
    <row r="107" spans="1:6" ht="42.75" x14ac:dyDescent="0.25">
      <c r="A107" s="16">
        <v>46029</v>
      </c>
      <c r="B107" s="16" t="str">
        <f>TEXT(A107, "mmmm yyyy")</f>
        <v>January 2026</v>
      </c>
      <c r="C107" s="7" t="s">
        <v>52</v>
      </c>
      <c r="D107" s="11">
        <v>10000</v>
      </c>
      <c r="E107" s="12" t="s">
        <v>153</v>
      </c>
      <c r="F107"/>
    </row>
    <row r="108" spans="1:6" ht="42.75" x14ac:dyDescent="0.25">
      <c r="A108" s="16">
        <v>46032</v>
      </c>
      <c r="B108" s="16" t="str">
        <f>TEXT(A108, "mmmm yyyy")</f>
        <v>January 2026</v>
      </c>
      <c r="C108" s="7" t="s">
        <v>51</v>
      </c>
      <c r="D108" s="11">
        <v>13525</v>
      </c>
      <c r="E108" s="12" t="s">
        <v>145</v>
      </c>
      <c r="F108"/>
    </row>
    <row r="109" spans="1:6" ht="42.75" x14ac:dyDescent="0.25">
      <c r="A109" s="16">
        <v>46032</v>
      </c>
      <c r="B109" s="16" t="str">
        <f>TEXT(A109, "mmmm yyyy")</f>
        <v>January 2026</v>
      </c>
      <c r="C109" s="7" t="s">
        <v>50</v>
      </c>
      <c r="D109" s="11">
        <v>14380</v>
      </c>
      <c r="E109" s="12" t="s">
        <v>150</v>
      </c>
      <c r="F109"/>
    </row>
    <row r="110" spans="1:6" ht="42.75" x14ac:dyDescent="0.25">
      <c r="A110" s="16">
        <v>46032</v>
      </c>
      <c r="B110" s="16" t="str">
        <f>TEXT(A110, "mmmm yyyy")</f>
        <v>January 2026</v>
      </c>
      <c r="C110" s="7" t="s">
        <v>49</v>
      </c>
      <c r="D110" s="11">
        <v>14040</v>
      </c>
      <c r="E110" s="12" t="s">
        <v>13</v>
      </c>
      <c r="F110"/>
    </row>
    <row r="111" spans="1:6" ht="42.75" x14ac:dyDescent="0.25">
      <c r="A111" s="16">
        <v>46032</v>
      </c>
      <c r="B111" s="16" t="str">
        <f>TEXT(A111, "mmmm yyyy")</f>
        <v>January 2026</v>
      </c>
      <c r="C111" s="7" t="s">
        <v>48</v>
      </c>
      <c r="D111" s="11">
        <v>12360</v>
      </c>
      <c r="E111" s="12" t="s">
        <v>147</v>
      </c>
      <c r="F111"/>
    </row>
    <row r="112" spans="1:6" ht="42.75" x14ac:dyDescent="0.25">
      <c r="A112" s="16">
        <v>46032</v>
      </c>
      <c r="B112" s="16" t="str">
        <f>TEXT(A112, "mmmm yyyy")</f>
        <v>January 2026</v>
      </c>
      <c r="C112" s="7" t="s">
        <v>47</v>
      </c>
      <c r="D112" s="11">
        <v>9400</v>
      </c>
      <c r="E112" s="12" t="s">
        <v>151</v>
      </c>
      <c r="F112"/>
    </row>
    <row r="113" spans="1:6" ht="42.75" x14ac:dyDescent="0.25">
      <c r="A113" s="16">
        <v>46032</v>
      </c>
      <c r="B113" s="16" t="str">
        <f>TEXT(A113, "mmmm yyyy")</f>
        <v>January 2026</v>
      </c>
      <c r="C113" s="7" t="s">
        <v>46</v>
      </c>
      <c r="D113" s="11">
        <v>12400</v>
      </c>
      <c r="E113" s="12" t="s">
        <v>143</v>
      </c>
      <c r="F113"/>
    </row>
    <row r="114" spans="1:6" ht="42.75" x14ac:dyDescent="0.25">
      <c r="A114" s="16">
        <v>46033</v>
      </c>
      <c r="B114" s="16" t="str">
        <f>TEXT(A114, "mmmm yyyy")</f>
        <v>January 2026</v>
      </c>
      <c r="C114" s="7" t="s">
        <v>45</v>
      </c>
      <c r="D114" s="11">
        <v>13700</v>
      </c>
      <c r="E114" s="12" t="s">
        <v>147</v>
      </c>
      <c r="F114"/>
    </row>
    <row r="115" spans="1:6" ht="42.75" x14ac:dyDescent="0.25">
      <c r="A115" s="16">
        <v>46033</v>
      </c>
      <c r="B115" s="16" t="str">
        <f>TEXT(A115, "mmmm yyyy")</f>
        <v>January 2026</v>
      </c>
      <c r="C115" s="7" t="s">
        <v>44</v>
      </c>
      <c r="D115" s="11">
        <v>25000</v>
      </c>
      <c r="E115" s="12" t="s">
        <v>152</v>
      </c>
      <c r="F115"/>
    </row>
    <row r="116" spans="1:6" ht="42.75" x14ac:dyDescent="0.25">
      <c r="A116" s="16">
        <v>46033</v>
      </c>
      <c r="B116" s="16" t="str">
        <f>TEXT(A116, "mmmm yyyy")</f>
        <v>January 2026</v>
      </c>
      <c r="C116" s="7" t="s">
        <v>43</v>
      </c>
      <c r="D116" s="11">
        <v>25000</v>
      </c>
      <c r="E116" s="12" t="s">
        <v>153</v>
      </c>
      <c r="F116"/>
    </row>
    <row r="117" spans="1:6" ht="42.75" x14ac:dyDescent="0.25">
      <c r="A117" s="16">
        <v>46033</v>
      </c>
      <c r="B117" s="16" t="str">
        <f>TEXT(A117, "mmmm yyyy")</f>
        <v>January 2026</v>
      </c>
      <c r="C117" s="7" t="s">
        <v>42</v>
      </c>
      <c r="D117" s="11">
        <v>6700</v>
      </c>
      <c r="E117" s="12" t="s">
        <v>153</v>
      </c>
      <c r="F117"/>
    </row>
    <row r="118" spans="1:6" ht="42.75" x14ac:dyDescent="0.25">
      <c r="A118" s="16">
        <v>46033</v>
      </c>
      <c r="B118" s="16" t="str">
        <f>TEXT(A118, "mmmm yyyy")</f>
        <v>January 2026</v>
      </c>
      <c r="C118" s="7" t="s">
        <v>41</v>
      </c>
      <c r="D118" s="11">
        <v>20000</v>
      </c>
      <c r="E118" s="12" t="s">
        <v>16</v>
      </c>
      <c r="F118"/>
    </row>
    <row r="119" spans="1:6" ht="42.75" x14ac:dyDescent="0.25">
      <c r="A119" s="16">
        <v>46042</v>
      </c>
      <c r="B119" s="16" t="str">
        <f>TEXT(A119, "mmmm yyyy")</f>
        <v>January 2026</v>
      </c>
      <c r="C119" s="7" t="s">
        <v>40</v>
      </c>
      <c r="D119" s="11">
        <v>7820</v>
      </c>
      <c r="E119" s="12" t="s">
        <v>13</v>
      </c>
      <c r="F119"/>
    </row>
    <row r="120" spans="1:6" ht="42.75" x14ac:dyDescent="0.25">
      <c r="A120" s="16">
        <v>46044</v>
      </c>
      <c r="B120" s="16" t="str">
        <f>TEXT(A120, "mmmm yyyy")</f>
        <v>January 2026</v>
      </c>
      <c r="C120" s="7" t="s">
        <v>39</v>
      </c>
      <c r="D120" s="11">
        <v>7820</v>
      </c>
      <c r="E120" s="12" t="s">
        <v>150</v>
      </c>
      <c r="F120"/>
    </row>
    <row r="121" spans="1:6" ht="42.75" x14ac:dyDescent="0.25">
      <c r="A121" s="16">
        <v>46044</v>
      </c>
      <c r="B121" s="16" t="str">
        <f>TEXT(A121, "mmmm yyyy")</f>
        <v>January 2026</v>
      </c>
      <c r="C121" s="7" t="s">
        <v>38</v>
      </c>
      <c r="D121" s="11">
        <v>10400</v>
      </c>
      <c r="E121" s="12" t="s">
        <v>145</v>
      </c>
      <c r="F121"/>
    </row>
    <row r="122" spans="1:6" ht="42.75" x14ac:dyDescent="0.25">
      <c r="A122" s="16">
        <v>46044</v>
      </c>
      <c r="B122" s="16" t="str">
        <f>TEXT(A122, "mmmm yyyy")</f>
        <v>January 2026</v>
      </c>
      <c r="C122" s="7" t="s">
        <v>37</v>
      </c>
      <c r="D122" s="11">
        <v>6900</v>
      </c>
      <c r="E122" s="12" t="s">
        <v>143</v>
      </c>
      <c r="F122"/>
    </row>
    <row r="123" spans="1:6" ht="42.75" x14ac:dyDescent="0.25">
      <c r="A123" s="16">
        <v>46044</v>
      </c>
      <c r="B123" s="16" t="str">
        <f>TEXT(A123, "mmmm yyyy")</f>
        <v>January 2026</v>
      </c>
      <c r="C123" s="7" t="s">
        <v>36</v>
      </c>
      <c r="D123" s="11">
        <v>8100</v>
      </c>
      <c r="E123" s="12" t="s">
        <v>151</v>
      </c>
      <c r="F123"/>
    </row>
    <row r="124" spans="1:6" ht="42.75" x14ac:dyDescent="0.25">
      <c r="A124" s="16">
        <v>46044</v>
      </c>
      <c r="B124" s="16" t="str">
        <f>TEXT(A124, "mmmm yyyy")</f>
        <v>January 2026</v>
      </c>
      <c r="C124" s="7" t="s">
        <v>35</v>
      </c>
      <c r="D124" s="11">
        <v>9300</v>
      </c>
      <c r="E124" s="12" t="s">
        <v>147</v>
      </c>
      <c r="F124"/>
    </row>
    <row r="125" spans="1:6" ht="42.75" x14ac:dyDescent="0.25">
      <c r="A125" s="16">
        <v>46044</v>
      </c>
      <c r="B125" s="16" t="str">
        <f>TEXT(A125, "mmmm yyyy")</f>
        <v>January 2026</v>
      </c>
      <c r="C125" s="7" t="s">
        <v>34</v>
      </c>
      <c r="D125" s="11">
        <v>10200</v>
      </c>
      <c r="E125" s="12" t="s">
        <v>143</v>
      </c>
      <c r="F125"/>
    </row>
    <row r="126" spans="1:6" ht="42.75" x14ac:dyDescent="0.25">
      <c r="A126" s="16">
        <v>46045</v>
      </c>
      <c r="B126" s="16" t="str">
        <f>TEXT(A126, "mmmm yyyy")</f>
        <v>January 2026</v>
      </c>
      <c r="C126" s="7" t="s">
        <v>33</v>
      </c>
      <c r="D126" s="11">
        <v>4500</v>
      </c>
      <c r="E126" s="12" t="s">
        <v>13</v>
      </c>
      <c r="F126"/>
    </row>
    <row r="127" spans="1:6" ht="42.75" x14ac:dyDescent="0.25">
      <c r="A127" s="16">
        <v>46046</v>
      </c>
      <c r="B127" s="16" t="str">
        <f>TEXT(A127, "mmmm yyyy")</f>
        <v>January 2026</v>
      </c>
      <c r="C127" s="7" t="s">
        <v>32</v>
      </c>
      <c r="D127" s="11">
        <v>5000</v>
      </c>
      <c r="E127" s="12" t="s">
        <v>152</v>
      </c>
      <c r="F127"/>
    </row>
    <row r="128" spans="1:6" ht="42.75" x14ac:dyDescent="0.25">
      <c r="A128" s="16">
        <v>46057</v>
      </c>
      <c r="B128" s="16" t="str">
        <f>TEXT(A128, "mmmm yyyy")</f>
        <v>February 2026</v>
      </c>
      <c r="C128" s="7" t="s">
        <v>31</v>
      </c>
      <c r="D128" s="11">
        <v>20000</v>
      </c>
      <c r="E128" s="12" t="s">
        <v>152</v>
      </c>
      <c r="F128"/>
    </row>
    <row r="129" spans="1:6" ht="42.75" x14ac:dyDescent="0.25">
      <c r="A129" s="16">
        <v>46064</v>
      </c>
      <c r="B129" s="16" t="str">
        <f>TEXT(A129, "mmmm yyyy")</f>
        <v>February 2026</v>
      </c>
      <c r="C129" s="7" t="s">
        <v>30</v>
      </c>
      <c r="D129" s="11">
        <v>15000</v>
      </c>
      <c r="E129" s="12" t="s">
        <v>143</v>
      </c>
      <c r="F129"/>
    </row>
    <row r="130" spans="1:6" ht="42.75" x14ac:dyDescent="0.25">
      <c r="A130" s="16">
        <v>46067</v>
      </c>
      <c r="B130" s="16" t="str">
        <f>TEXT(A130, "mmmm yyyy")</f>
        <v>February 2026</v>
      </c>
      <c r="C130" s="7" t="s">
        <v>29</v>
      </c>
      <c r="D130" s="11">
        <v>5000</v>
      </c>
      <c r="E130" s="12" t="s">
        <v>152</v>
      </c>
      <c r="F130"/>
    </row>
    <row r="131" spans="1:6" ht="42.75" x14ac:dyDescent="0.25">
      <c r="A131" s="16">
        <v>46069</v>
      </c>
      <c r="B131" s="16" t="str">
        <f>TEXT(A131, "mmmm yyyy")</f>
        <v>February 2026</v>
      </c>
      <c r="C131" s="7" t="s">
        <v>28</v>
      </c>
      <c r="D131" s="11">
        <v>3900</v>
      </c>
      <c r="E131" s="12" t="s">
        <v>143</v>
      </c>
      <c r="F131"/>
    </row>
    <row r="132" spans="1:6" ht="42.75" x14ac:dyDescent="0.25">
      <c r="A132" s="16">
        <v>46069</v>
      </c>
      <c r="B132" s="16" t="str">
        <f>TEXT(A132, "mmmm yyyy")</f>
        <v>February 2026</v>
      </c>
      <c r="C132" s="7" t="s">
        <v>27</v>
      </c>
      <c r="D132" s="11">
        <v>3850</v>
      </c>
      <c r="E132" s="12" t="s">
        <v>145</v>
      </c>
      <c r="F132"/>
    </row>
    <row r="133" spans="1:6" ht="42.75" x14ac:dyDescent="0.25">
      <c r="A133" s="16">
        <v>46069</v>
      </c>
      <c r="B133" s="16" t="str">
        <f>TEXT(A133, "mmmm yyyy")</f>
        <v>February 2026</v>
      </c>
      <c r="C133" s="7" t="s">
        <v>26</v>
      </c>
      <c r="D133" s="11">
        <v>500</v>
      </c>
      <c r="E133" s="12" t="s">
        <v>147</v>
      </c>
      <c r="F133"/>
    </row>
    <row r="134" spans="1:6" ht="42.75" x14ac:dyDescent="0.25">
      <c r="A134" s="16">
        <v>46078</v>
      </c>
      <c r="B134" s="16" t="str">
        <f>TEXT(A134, "mmmm yyyy")</f>
        <v>February 2026</v>
      </c>
      <c r="C134" s="7" t="s">
        <v>25</v>
      </c>
      <c r="D134" s="11">
        <v>5000</v>
      </c>
      <c r="E134" s="12" t="s">
        <v>13</v>
      </c>
      <c r="F134"/>
    </row>
    <row r="135" spans="1:6" ht="42.75" x14ac:dyDescent="0.25">
      <c r="A135" s="16">
        <v>46078</v>
      </c>
      <c r="B135" s="16" t="str">
        <f>TEXT(A135, "mmmm yyyy")</f>
        <v>February 2026</v>
      </c>
      <c r="C135" s="7" t="s">
        <v>24</v>
      </c>
      <c r="D135" s="11">
        <v>5000</v>
      </c>
      <c r="E135" s="12" t="s">
        <v>145</v>
      </c>
      <c r="F135"/>
    </row>
    <row r="136" spans="1:6" ht="42.75" x14ac:dyDescent="0.25">
      <c r="A136" s="16">
        <v>46083</v>
      </c>
      <c r="B136" s="16" t="str">
        <f>TEXT(A136, "mmmm yyyy")</f>
        <v>March 2026</v>
      </c>
      <c r="C136" s="7" t="s">
        <v>23</v>
      </c>
      <c r="D136" s="11">
        <v>25000</v>
      </c>
      <c r="E136" s="12" t="s">
        <v>14</v>
      </c>
      <c r="F136"/>
    </row>
    <row r="137" spans="1:6" ht="42.75" x14ac:dyDescent="0.25">
      <c r="A137" s="16">
        <v>46092</v>
      </c>
      <c r="B137" s="16" t="str">
        <f>TEXT(A137, "mmmm yyyy")</f>
        <v>March 2026</v>
      </c>
      <c r="C137" s="7" t="s">
        <v>22</v>
      </c>
      <c r="D137" s="11">
        <v>10000</v>
      </c>
      <c r="E137" s="12" t="s">
        <v>13</v>
      </c>
      <c r="F137"/>
    </row>
    <row r="138" spans="1:6" ht="42.75" x14ac:dyDescent="0.25">
      <c r="A138" s="16">
        <v>46100</v>
      </c>
      <c r="B138" s="16" t="str">
        <f>TEXT(A138, "mmmm yyyy")</f>
        <v>March 2026</v>
      </c>
      <c r="C138" s="7" t="s">
        <v>21</v>
      </c>
      <c r="D138" s="11">
        <v>2000</v>
      </c>
      <c r="E138" s="12" t="s">
        <v>145</v>
      </c>
      <c r="F138"/>
    </row>
    <row r="139" spans="1:6" ht="42.75" x14ac:dyDescent="0.25">
      <c r="A139" s="16">
        <v>46104</v>
      </c>
      <c r="B139" s="16" t="str">
        <f>TEXT(A139, "mmmm yyyy")</f>
        <v>March 2026</v>
      </c>
      <c r="C139" s="7" t="s">
        <v>20</v>
      </c>
      <c r="D139" s="11">
        <v>5000</v>
      </c>
      <c r="E139" s="12" t="s">
        <v>13</v>
      </c>
      <c r="F139"/>
    </row>
    <row r="140" spans="1:6" ht="42.75" x14ac:dyDescent="0.25">
      <c r="A140" s="16">
        <v>46104</v>
      </c>
      <c r="B140" s="16" t="str">
        <f>TEXT(A140, "mmmm yyyy")</f>
        <v>March 2026</v>
      </c>
      <c r="C140" s="7" t="s">
        <v>19</v>
      </c>
      <c r="D140" s="11">
        <v>5000</v>
      </c>
      <c r="E140" s="12" t="s">
        <v>6</v>
      </c>
      <c r="F140"/>
    </row>
    <row r="141" spans="1:6" ht="42.75" x14ac:dyDescent="0.25">
      <c r="A141" s="16">
        <v>46104</v>
      </c>
      <c r="B141" s="16" t="str">
        <f>TEXT(A141, "mmmm yyyy")</f>
        <v>March 2026</v>
      </c>
      <c r="C141" s="7" t="s">
        <v>18</v>
      </c>
      <c r="D141" s="11">
        <v>5000</v>
      </c>
      <c r="E141" s="12" t="s">
        <v>15</v>
      </c>
      <c r="F141"/>
    </row>
    <row r="142" spans="1:6" ht="42.75" x14ac:dyDescent="0.25">
      <c r="A142" s="16">
        <v>46104</v>
      </c>
      <c r="B142" s="16" t="str">
        <f>TEXT(A142, "mmmm yyyy")</f>
        <v>March 2026</v>
      </c>
      <c r="C142" s="7" t="s">
        <v>17</v>
      </c>
      <c r="D142" s="11">
        <v>5000</v>
      </c>
      <c r="E142" s="12" t="s">
        <v>16</v>
      </c>
      <c r="F142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50304-3031-40F6-BC5A-F58D540957B0}">
  <sheetPr codeName="Sheet2"/>
  <dimension ref="A1:B11"/>
  <sheetViews>
    <sheetView workbookViewId="0">
      <selection activeCell="C23" sqref="C23"/>
    </sheetView>
  </sheetViews>
  <sheetFormatPr defaultRowHeight="15" x14ac:dyDescent="0.25"/>
  <cols>
    <col min="1" max="1" width="14.28515625" customWidth="1"/>
    <col min="2" max="2" width="27.7109375" bestFit="1" customWidth="1"/>
  </cols>
  <sheetData>
    <row r="1" spans="1:2" x14ac:dyDescent="0.25">
      <c r="A1" s="1" t="s">
        <v>0</v>
      </c>
      <c r="B1" s="3" t="s">
        <v>1</v>
      </c>
    </row>
    <row r="2" spans="1:2" x14ac:dyDescent="0.25">
      <c r="A2" s="4">
        <v>50000</v>
      </c>
      <c r="B2" s="2" t="s">
        <v>3</v>
      </c>
    </row>
    <row r="3" spans="1:2" x14ac:dyDescent="0.25">
      <c r="B3" s="2" t="s">
        <v>4</v>
      </c>
    </row>
    <row r="4" spans="1:2" x14ac:dyDescent="0.25">
      <c r="B4" s="2" t="s">
        <v>5</v>
      </c>
    </row>
    <row r="5" spans="1:2" x14ac:dyDescent="0.25">
      <c r="B5" s="2" t="s">
        <v>7</v>
      </c>
    </row>
    <row r="6" spans="1:2" x14ac:dyDescent="0.25">
      <c r="B6" s="2" t="s">
        <v>8</v>
      </c>
    </row>
    <row r="7" spans="1:2" x14ac:dyDescent="0.25">
      <c r="A7" s="4">
        <v>25000</v>
      </c>
      <c r="B7" s="2" t="s">
        <v>9</v>
      </c>
    </row>
    <row r="8" spans="1:2" x14ac:dyDescent="0.25">
      <c r="B8" s="2" t="s">
        <v>4</v>
      </c>
    </row>
    <row r="9" spans="1:2" x14ac:dyDescent="0.25">
      <c r="B9" s="2" t="s">
        <v>10</v>
      </c>
    </row>
    <row r="10" spans="1:2" x14ac:dyDescent="0.25">
      <c r="B10" s="2" t="s">
        <v>11</v>
      </c>
    </row>
    <row r="11" spans="1:2" x14ac:dyDescent="0.25">
      <c r="B11" s="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8E1E7-67A5-4A65-AD22-120E010735AD}">
  <dimension ref="A2:N153"/>
  <sheetViews>
    <sheetView workbookViewId="0">
      <selection activeCell="L15" sqref="L15"/>
    </sheetView>
  </sheetViews>
  <sheetFormatPr defaultRowHeight="15" x14ac:dyDescent="0.25"/>
  <cols>
    <col min="1" max="1" width="16.5703125" customWidth="1"/>
    <col min="2" max="2" width="13.42578125" customWidth="1"/>
    <col min="4" max="4" width="39" bestFit="1" customWidth="1"/>
    <col min="5" max="5" width="32.5703125" bestFit="1" customWidth="1"/>
    <col min="6" max="6" width="17.85546875" bestFit="1" customWidth="1"/>
    <col min="10" max="11" width="16.42578125" customWidth="1"/>
    <col min="12" max="12" width="34" bestFit="1" customWidth="1"/>
    <col min="13" max="13" width="35.140625" bestFit="1" customWidth="1"/>
    <col min="14" max="14" width="12.5703125" customWidth="1"/>
  </cols>
  <sheetData>
    <row r="2" spans="1:14" x14ac:dyDescent="0.25">
      <c r="B2" t="s">
        <v>171</v>
      </c>
      <c r="D2" s="22">
        <f>SUM(F5:F30)</f>
        <v>1144668</v>
      </c>
      <c r="L2" t="s">
        <v>216</v>
      </c>
      <c r="M2" s="22">
        <f>SUM(N5:N153)</f>
        <v>1236138</v>
      </c>
    </row>
    <row r="4" spans="1:14" x14ac:dyDescent="0.25">
      <c r="A4" s="18" t="s">
        <v>173</v>
      </c>
      <c r="B4" s="18" t="s">
        <v>174</v>
      </c>
      <c r="C4" s="18" t="s">
        <v>175</v>
      </c>
      <c r="D4" s="18" t="s">
        <v>176</v>
      </c>
      <c r="E4" s="18" t="s">
        <v>177</v>
      </c>
      <c r="F4" s="19" t="s">
        <v>215</v>
      </c>
      <c r="J4" s="18" t="s">
        <v>173</v>
      </c>
      <c r="K4" s="18" t="s">
        <v>174</v>
      </c>
      <c r="L4" s="18" t="s">
        <v>176</v>
      </c>
      <c r="M4" s="18" t="s">
        <v>177</v>
      </c>
      <c r="N4" s="19" t="s">
        <v>178</v>
      </c>
    </row>
    <row r="5" spans="1:14" x14ac:dyDescent="0.25">
      <c r="A5" s="20">
        <v>45765</v>
      </c>
      <c r="B5" s="2" t="s">
        <v>179</v>
      </c>
      <c r="C5" s="2" t="s">
        <v>2</v>
      </c>
      <c r="D5" s="2" t="s">
        <v>180</v>
      </c>
      <c r="E5" s="2" t="s">
        <v>181</v>
      </c>
      <c r="F5" s="21">
        <v>88318</v>
      </c>
      <c r="J5" s="20">
        <v>45748</v>
      </c>
      <c r="K5" s="2" t="s">
        <v>244</v>
      </c>
      <c r="L5" s="2" t="s">
        <v>217</v>
      </c>
      <c r="M5" s="2" t="s">
        <v>238</v>
      </c>
      <c r="N5" s="21">
        <v>7530</v>
      </c>
    </row>
    <row r="6" spans="1:14" x14ac:dyDescent="0.25">
      <c r="A6" s="20">
        <v>45778</v>
      </c>
      <c r="B6" s="2" t="s">
        <v>182</v>
      </c>
      <c r="C6" s="2" t="s">
        <v>2</v>
      </c>
      <c r="D6" s="2" t="s">
        <v>180</v>
      </c>
      <c r="E6" s="2" t="s">
        <v>181</v>
      </c>
      <c r="F6" s="21">
        <v>66828</v>
      </c>
      <c r="J6" s="20">
        <v>45771</v>
      </c>
      <c r="K6" s="2" t="s">
        <v>245</v>
      </c>
      <c r="L6" s="2" t="s">
        <v>217</v>
      </c>
      <c r="M6" s="2" t="s">
        <v>238</v>
      </c>
      <c r="N6" s="21">
        <v>8560</v>
      </c>
    </row>
    <row r="7" spans="1:14" x14ac:dyDescent="0.25">
      <c r="A7" s="20">
        <v>45782</v>
      </c>
      <c r="B7" s="2" t="s">
        <v>183</v>
      </c>
      <c r="C7" s="2" t="s">
        <v>2</v>
      </c>
      <c r="D7" s="2" t="s">
        <v>180</v>
      </c>
      <c r="E7" s="2" t="s">
        <v>181</v>
      </c>
      <c r="F7" s="21">
        <v>22838</v>
      </c>
      <c r="J7" s="20">
        <v>45778</v>
      </c>
      <c r="K7" s="2" t="s">
        <v>246</v>
      </c>
      <c r="L7" s="2" t="s">
        <v>219</v>
      </c>
      <c r="M7" s="2" t="s">
        <v>239</v>
      </c>
      <c r="N7" s="21">
        <v>6980</v>
      </c>
    </row>
    <row r="8" spans="1:14" x14ac:dyDescent="0.25">
      <c r="A8" s="20">
        <v>45790</v>
      </c>
      <c r="B8" s="2" t="s">
        <v>182</v>
      </c>
      <c r="C8" s="2" t="s">
        <v>2</v>
      </c>
      <c r="D8" s="2" t="s">
        <v>180</v>
      </c>
      <c r="E8" s="2" t="s">
        <v>181</v>
      </c>
      <c r="F8" s="21">
        <v>45980</v>
      </c>
      <c r="J8" s="20">
        <v>45780</v>
      </c>
      <c r="K8" s="2" t="s">
        <v>247</v>
      </c>
      <c r="L8" s="2" t="s">
        <v>218</v>
      </c>
      <c r="M8" s="2" t="s">
        <v>238</v>
      </c>
      <c r="N8" s="21">
        <v>10580</v>
      </c>
    </row>
    <row r="9" spans="1:14" x14ac:dyDescent="0.25">
      <c r="A9" s="20">
        <v>45849</v>
      </c>
      <c r="B9" s="2" t="s">
        <v>184</v>
      </c>
      <c r="C9" s="2" t="s">
        <v>2</v>
      </c>
      <c r="D9" s="2" t="s">
        <v>180</v>
      </c>
      <c r="E9" s="2" t="s">
        <v>181</v>
      </c>
      <c r="F9" s="21">
        <v>89273</v>
      </c>
      <c r="J9" s="20">
        <v>45784</v>
      </c>
      <c r="K9" s="2" t="s">
        <v>248</v>
      </c>
      <c r="L9" s="2" t="s">
        <v>218</v>
      </c>
      <c r="M9" s="2" t="s">
        <v>238</v>
      </c>
      <c r="N9" s="21">
        <v>7530</v>
      </c>
    </row>
    <row r="10" spans="1:14" x14ac:dyDescent="0.25">
      <c r="A10" s="20">
        <v>45869</v>
      </c>
      <c r="B10" s="2" t="s">
        <v>185</v>
      </c>
      <c r="C10" s="2" t="s">
        <v>2</v>
      </c>
      <c r="D10" s="2" t="s">
        <v>180</v>
      </c>
      <c r="E10" s="2" t="s">
        <v>181</v>
      </c>
      <c r="F10" s="21">
        <v>22265</v>
      </c>
      <c r="J10" s="20">
        <v>45785</v>
      </c>
      <c r="K10" s="2" t="s">
        <v>249</v>
      </c>
      <c r="L10" s="2" t="s">
        <v>219</v>
      </c>
      <c r="M10" s="2" t="s">
        <v>239</v>
      </c>
      <c r="N10" s="21">
        <v>1762</v>
      </c>
    </row>
    <row r="11" spans="1:14" x14ac:dyDescent="0.25">
      <c r="A11" s="20">
        <v>45869</v>
      </c>
      <c r="B11" s="2" t="s">
        <v>186</v>
      </c>
      <c r="C11" s="2" t="s">
        <v>2</v>
      </c>
      <c r="D11" s="2" t="s">
        <v>180</v>
      </c>
      <c r="E11" s="2" t="s">
        <v>181</v>
      </c>
      <c r="F11" s="21">
        <v>22964</v>
      </c>
      <c r="J11" s="20">
        <v>45787</v>
      </c>
      <c r="K11" s="2" t="s">
        <v>250</v>
      </c>
      <c r="L11" s="2" t="s">
        <v>220</v>
      </c>
      <c r="M11" s="2" t="s">
        <v>238</v>
      </c>
      <c r="N11" s="21">
        <v>9400</v>
      </c>
    </row>
    <row r="12" spans="1:14" x14ac:dyDescent="0.25">
      <c r="A12" s="20">
        <v>45870</v>
      </c>
      <c r="B12" s="2" t="s">
        <v>187</v>
      </c>
      <c r="C12" s="2" t="s">
        <v>2</v>
      </c>
      <c r="D12" s="2" t="s">
        <v>180</v>
      </c>
      <c r="E12" s="2" t="s">
        <v>181</v>
      </c>
      <c r="F12" s="21">
        <v>43829</v>
      </c>
      <c r="J12" s="20">
        <v>45792</v>
      </c>
      <c r="K12" s="2" t="s">
        <v>251</v>
      </c>
      <c r="L12" s="2" t="s">
        <v>218</v>
      </c>
      <c r="M12" s="2" t="s">
        <v>238</v>
      </c>
      <c r="N12" s="21">
        <v>9410</v>
      </c>
    </row>
    <row r="13" spans="1:14" x14ac:dyDescent="0.25">
      <c r="A13" s="20">
        <v>45879</v>
      </c>
      <c r="B13" s="2" t="s">
        <v>188</v>
      </c>
      <c r="C13" s="2" t="s">
        <v>2</v>
      </c>
      <c r="D13" s="2" t="s">
        <v>180</v>
      </c>
      <c r="E13" s="2" t="s">
        <v>181</v>
      </c>
      <c r="F13" s="21">
        <v>90254</v>
      </c>
      <c r="J13" s="20">
        <v>45799</v>
      </c>
      <c r="K13" s="2" t="s">
        <v>252</v>
      </c>
      <c r="L13" s="2" t="s">
        <v>221</v>
      </c>
      <c r="M13" s="2" t="s">
        <v>238</v>
      </c>
      <c r="N13" s="21">
        <v>10640</v>
      </c>
    </row>
    <row r="14" spans="1:14" x14ac:dyDescent="0.25">
      <c r="A14" s="20">
        <v>45885</v>
      </c>
      <c r="B14" s="2" t="s">
        <v>189</v>
      </c>
      <c r="C14" s="2" t="s">
        <v>2</v>
      </c>
      <c r="D14" s="2" t="s">
        <v>180</v>
      </c>
      <c r="E14" s="2" t="s">
        <v>181</v>
      </c>
      <c r="F14" s="21">
        <v>22376</v>
      </c>
      <c r="J14" s="20">
        <v>45802</v>
      </c>
      <c r="K14" s="2" t="s">
        <v>253</v>
      </c>
      <c r="L14" s="2" t="s">
        <v>222</v>
      </c>
      <c r="M14" s="2" t="s">
        <v>238</v>
      </c>
      <c r="N14" s="21">
        <v>8320</v>
      </c>
    </row>
    <row r="15" spans="1:14" x14ac:dyDescent="0.25">
      <c r="A15" s="20">
        <v>45891</v>
      </c>
      <c r="B15" s="2" t="s">
        <v>190</v>
      </c>
      <c r="C15" s="2" t="s">
        <v>2</v>
      </c>
      <c r="D15" s="2" t="s">
        <v>180</v>
      </c>
      <c r="E15" s="2" t="s">
        <v>181</v>
      </c>
      <c r="F15" s="21">
        <v>23298</v>
      </c>
      <c r="J15" s="20">
        <v>45807</v>
      </c>
      <c r="K15" s="2" t="s">
        <v>254</v>
      </c>
      <c r="L15" s="2" t="s">
        <v>218</v>
      </c>
      <c r="M15" s="2" t="s">
        <v>238</v>
      </c>
      <c r="N15" s="21">
        <v>7350</v>
      </c>
    </row>
    <row r="16" spans="1:14" x14ac:dyDescent="0.25">
      <c r="A16" s="20">
        <v>45891</v>
      </c>
      <c r="B16" s="2" t="s">
        <v>191</v>
      </c>
      <c r="C16" s="2" t="s">
        <v>2</v>
      </c>
      <c r="D16" s="2" t="s">
        <v>180</v>
      </c>
      <c r="E16" s="2" t="s">
        <v>181</v>
      </c>
      <c r="F16" s="21">
        <v>111123</v>
      </c>
      <c r="J16" s="20">
        <v>45807</v>
      </c>
      <c r="K16" s="2" t="s">
        <v>255</v>
      </c>
      <c r="L16" s="2" t="s">
        <v>223</v>
      </c>
      <c r="M16" s="2" t="s">
        <v>238</v>
      </c>
      <c r="N16" s="21">
        <v>8150</v>
      </c>
    </row>
    <row r="17" spans="1:14" x14ac:dyDescent="0.25">
      <c r="A17" s="20">
        <v>45904</v>
      </c>
      <c r="B17" s="2" t="s">
        <v>192</v>
      </c>
      <c r="C17" s="2" t="s">
        <v>2</v>
      </c>
      <c r="D17" s="2" t="s">
        <v>180</v>
      </c>
      <c r="E17" s="2" t="s">
        <v>181</v>
      </c>
      <c r="F17" s="21">
        <v>110760</v>
      </c>
      <c r="J17" s="20">
        <v>45811</v>
      </c>
      <c r="K17" s="2" t="s">
        <v>256</v>
      </c>
      <c r="L17" s="2" t="s">
        <v>221</v>
      </c>
      <c r="M17" s="2" t="s">
        <v>238</v>
      </c>
      <c r="N17" s="21">
        <v>7770</v>
      </c>
    </row>
    <row r="18" spans="1:14" x14ac:dyDescent="0.25">
      <c r="A18" s="20">
        <v>45913</v>
      </c>
      <c r="B18" s="2" t="s">
        <v>193</v>
      </c>
      <c r="C18" s="2" t="s">
        <v>2</v>
      </c>
      <c r="D18" s="2" t="s">
        <v>180</v>
      </c>
      <c r="E18" s="2" t="s">
        <v>181</v>
      </c>
      <c r="F18" s="21">
        <v>112009</v>
      </c>
      <c r="J18" s="20">
        <v>45815</v>
      </c>
      <c r="K18" s="2" t="s">
        <v>257</v>
      </c>
      <c r="L18" s="2" t="s">
        <v>218</v>
      </c>
      <c r="M18" s="2" t="s">
        <v>238</v>
      </c>
      <c r="N18" s="21">
        <v>8740</v>
      </c>
    </row>
    <row r="19" spans="1:14" x14ac:dyDescent="0.25">
      <c r="A19" s="20">
        <v>45931</v>
      </c>
      <c r="B19" s="2" t="s">
        <v>194</v>
      </c>
      <c r="C19" s="2" t="s">
        <v>2</v>
      </c>
      <c r="D19" s="2" t="s">
        <v>180</v>
      </c>
      <c r="E19" s="2" t="s">
        <v>181</v>
      </c>
      <c r="F19" s="21">
        <v>45146</v>
      </c>
      <c r="J19" s="20">
        <v>45822</v>
      </c>
      <c r="K19" s="2" t="s">
        <v>258</v>
      </c>
      <c r="L19" s="2" t="s">
        <v>218</v>
      </c>
      <c r="M19" s="2" t="s">
        <v>238</v>
      </c>
      <c r="N19" s="21">
        <v>9420</v>
      </c>
    </row>
    <row r="20" spans="1:14" x14ac:dyDescent="0.25">
      <c r="A20" s="20">
        <v>45933</v>
      </c>
      <c r="B20" s="2" t="s">
        <v>195</v>
      </c>
      <c r="C20" s="2" t="s">
        <v>2</v>
      </c>
      <c r="D20" s="2" t="s">
        <v>180</v>
      </c>
      <c r="E20" s="2" t="s">
        <v>181</v>
      </c>
      <c r="F20" s="21">
        <v>23097</v>
      </c>
      <c r="J20" s="20">
        <v>45824</v>
      </c>
      <c r="K20" s="2" t="s">
        <v>259</v>
      </c>
      <c r="L20" s="2" t="s">
        <v>221</v>
      </c>
      <c r="M20" s="2" t="s">
        <v>238</v>
      </c>
      <c r="N20" s="21">
        <v>1280</v>
      </c>
    </row>
    <row r="21" spans="1:14" x14ac:dyDescent="0.25">
      <c r="A21" s="20">
        <v>45988</v>
      </c>
      <c r="B21" s="2" t="s">
        <v>196</v>
      </c>
      <c r="C21" s="2" t="s">
        <v>2</v>
      </c>
      <c r="D21" s="2" t="s">
        <v>197</v>
      </c>
      <c r="E21" s="2" t="s">
        <v>198</v>
      </c>
      <c r="F21" s="21">
        <v>4965</v>
      </c>
      <c r="J21" s="20">
        <v>45831</v>
      </c>
      <c r="K21" s="2" t="s">
        <v>260</v>
      </c>
      <c r="L21" s="2" t="s">
        <v>223</v>
      </c>
      <c r="M21" s="2" t="s">
        <v>238</v>
      </c>
      <c r="N21" s="21">
        <v>9430</v>
      </c>
    </row>
    <row r="22" spans="1:14" x14ac:dyDescent="0.25">
      <c r="A22" s="20">
        <v>46016</v>
      </c>
      <c r="B22" s="2" t="s">
        <v>199</v>
      </c>
      <c r="C22" s="2" t="s">
        <v>2</v>
      </c>
      <c r="D22" s="2" t="s">
        <v>200</v>
      </c>
      <c r="E22" s="2" t="s">
        <v>201</v>
      </c>
      <c r="F22" s="21">
        <v>19015</v>
      </c>
      <c r="J22" s="20">
        <v>45834</v>
      </c>
      <c r="K22" s="2" t="s">
        <v>261</v>
      </c>
      <c r="L22" s="2" t="s">
        <v>218</v>
      </c>
      <c r="M22" s="2" t="s">
        <v>238</v>
      </c>
      <c r="N22" s="21">
        <v>7730</v>
      </c>
    </row>
    <row r="23" spans="1:14" x14ac:dyDescent="0.25">
      <c r="A23" s="20">
        <v>46017</v>
      </c>
      <c r="B23" s="2" t="s">
        <v>202</v>
      </c>
      <c r="C23" s="2" t="s">
        <v>2</v>
      </c>
      <c r="D23" s="2" t="s">
        <v>203</v>
      </c>
      <c r="E23" s="2" t="s">
        <v>204</v>
      </c>
      <c r="F23" s="21">
        <v>103910</v>
      </c>
      <c r="J23" s="20">
        <v>45841</v>
      </c>
      <c r="K23" s="2" t="s">
        <v>262</v>
      </c>
      <c r="L23" s="2" t="s">
        <v>221</v>
      </c>
      <c r="M23" s="2" t="s">
        <v>238</v>
      </c>
      <c r="N23" s="21">
        <v>8620</v>
      </c>
    </row>
    <row r="24" spans="1:14" x14ac:dyDescent="0.25">
      <c r="A24" s="20">
        <v>46080</v>
      </c>
      <c r="B24" s="2" t="s">
        <v>205</v>
      </c>
      <c r="C24" s="2" t="s">
        <v>2</v>
      </c>
      <c r="D24" s="2" t="s">
        <v>206</v>
      </c>
      <c r="E24" s="2" t="s">
        <v>181</v>
      </c>
      <c r="F24" s="21">
        <v>16950</v>
      </c>
      <c r="J24" s="20">
        <v>45842</v>
      </c>
      <c r="K24" s="2" t="s">
        <v>263</v>
      </c>
      <c r="L24" s="2" t="s">
        <v>218</v>
      </c>
      <c r="M24" s="2" t="s">
        <v>238</v>
      </c>
      <c r="N24" s="21">
        <v>9300</v>
      </c>
    </row>
    <row r="25" spans="1:14" x14ac:dyDescent="0.25">
      <c r="A25" s="20">
        <v>46083</v>
      </c>
      <c r="B25" s="2" t="s">
        <v>207</v>
      </c>
      <c r="C25" s="2" t="s">
        <v>2</v>
      </c>
      <c r="D25" s="2" t="s">
        <v>208</v>
      </c>
      <c r="E25" s="2" t="s">
        <v>181</v>
      </c>
      <c r="F25" s="21">
        <v>5800</v>
      </c>
      <c r="J25" s="20">
        <v>45845</v>
      </c>
      <c r="K25" s="2" t="s">
        <v>264</v>
      </c>
      <c r="L25" s="2" t="s">
        <v>224</v>
      </c>
      <c r="M25" s="2" t="s">
        <v>238</v>
      </c>
      <c r="N25" s="21">
        <v>8720</v>
      </c>
    </row>
    <row r="26" spans="1:14" x14ac:dyDescent="0.25">
      <c r="A26" s="20">
        <v>46084</v>
      </c>
      <c r="B26" s="2" t="s">
        <v>209</v>
      </c>
      <c r="C26" s="2" t="s">
        <v>2</v>
      </c>
      <c r="D26" s="2" t="s">
        <v>208</v>
      </c>
      <c r="E26" s="2" t="s">
        <v>181</v>
      </c>
      <c r="F26" s="21">
        <v>6500</v>
      </c>
      <c r="J26" s="20">
        <v>45850</v>
      </c>
      <c r="K26" s="2" t="s">
        <v>265</v>
      </c>
      <c r="L26" s="2" t="s">
        <v>218</v>
      </c>
      <c r="M26" s="2" t="s">
        <v>238</v>
      </c>
      <c r="N26" s="21">
        <v>9020</v>
      </c>
    </row>
    <row r="27" spans="1:14" x14ac:dyDescent="0.25">
      <c r="A27" s="20">
        <v>46090</v>
      </c>
      <c r="B27" s="2" t="s">
        <v>210</v>
      </c>
      <c r="C27" s="2" t="s">
        <v>2</v>
      </c>
      <c r="D27" s="2" t="s">
        <v>211</v>
      </c>
      <c r="E27" s="2" t="s">
        <v>181</v>
      </c>
      <c r="F27" s="21">
        <v>25740</v>
      </c>
      <c r="J27" s="20">
        <v>45853</v>
      </c>
      <c r="K27" s="2" t="s">
        <v>266</v>
      </c>
      <c r="L27" s="2" t="s">
        <v>224</v>
      </c>
      <c r="M27" s="2" t="s">
        <v>238</v>
      </c>
      <c r="N27" s="21">
        <v>8780</v>
      </c>
    </row>
    <row r="28" spans="1:14" x14ac:dyDescent="0.25">
      <c r="A28" s="20">
        <v>46091</v>
      </c>
      <c r="B28" s="2" t="s">
        <v>212</v>
      </c>
      <c r="C28" s="2" t="s">
        <v>2</v>
      </c>
      <c r="D28" s="2" t="s">
        <v>206</v>
      </c>
      <c r="E28" s="2" t="s">
        <v>181</v>
      </c>
      <c r="F28" s="21">
        <v>10290</v>
      </c>
      <c r="J28" s="20">
        <v>45855</v>
      </c>
      <c r="K28" s="2" t="s">
        <v>267</v>
      </c>
      <c r="L28" s="2" t="s">
        <v>218</v>
      </c>
      <c r="M28" s="2" t="s">
        <v>238</v>
      </c>
      <c r="N28" s="21">
        <v>10350</v>
      </c>
    </row>
    <row r="29" spans="1:14" x14ac:dyDescent="0.25">
      <c r="A29" s="20">
        <v>46108</v>
      </c>
      <c r="B29" s="2" t="s">
        <v>213</v>
      </c>
      <c r="C29" s="2" t="s">
        <v>2</v>
      </c>
      <c r="D29" s="2" t="s">
        <v>208</v>
      </c>
      <c r="E29" s="2" t="s">
        <v>181</v>
      </c>
      <c r="F29" s="21">
        <v>5630</v>
      </c>
      <c r="J29" s="20">
        <v>45858</v>
      </c>
      <c r="K29" s="2" t="s">
        <v>268</v>
      </c>
      <c r="L29" s="2" t="s">
        <v>225</v>
      </c>
      <c r="M29" s="2" t="s">
        <v>240</v>
      </c>
      <c r="N29" s="21">
        <v>22274</v>
      </c>
    </row>
    <row r="30" spans="1:14" x14ac:dyDescent="0.25">
      <c r="A30" s="20">
        <v>46108</v>
      </c>
      <c r="B30" s="2" t="s">
        <v>214</v>
      </c>
      <c r="C30" s="2" t="s">
        <v>2</v>
      </c>
      <c r="D30" s="2" t="s">
        <v>208</v>
      </c>
      <c r="E30" s="2" t="s">
        <v>181</v>
      </c>
      <c r="F30" s="21">
        <v>5510</v>
      </c>
      <c r="J30" s="20">
        <v>45858</v>
      </c>
      <c r="K30" s="2" t="s">
        <v>269</v>
      </c>
      <c r="L30" s="2" t="s">
        <v>226</v>
      </c>
      <c r="M30" s="2" t="s">
        <v>240</v>
      </c>
      <c r="N30" s="21">
        <v>23265</v>
      </c>
    </row>
    <row r="31" spans="1:14" x14ac:dyDescent="0.25">
      <c r="J31" s="20">
        <v>45858</v>
      </c>
      <c r="K31" s="2" t="s">
        <v>270</v>
      </c>
      <c r="L31" s="2" t="s">
        <v>226</v>
      </c>
      <c r="M31" s="2" t="s">
        <v>240</v>
      </c>
      <c r="N31" s="21">
        <v>21965</v>
      </c>
    </row>
    <row r="32" spans="1:14" x14ac:dyDescent="0.25">
      <c r="E32" s="23"/>
      <c r="F32" s="25"/>
      <c r="J32" s="20">
        <v>45858</v>
      </c>
      <c r="K32" s="2" t="s">
        <v>271</v>
      </c>
      <c r="L32" s="2" t="s">
        <v>226</v>
      </c>
      <c r="M32" s="2" t="s">
        <v>240</v>
      </c>
      <c r="N32" s="21">
        <v>60</v>
      </c>
    </row>
    <row r="33" spans="10:14" x14ac:dyDescent="0.25">
      <c r="J33" s="20">
        <v>45858</v>
      </c>
      <c r="K33" s="2" t="s">
        <v>272</v>
      </c>
      <c r="L33" s="2" t="s">
        <v>226</v>
      </c>
      <c r="M33" s="2" t="s">
        <v>240</v>
      </c>
      <c r="N33" s="21">
        <v>80</v>
      </c>
    </row>
    <row r="34" spans="10:14" x14ac:dyDescent="0.25">
      <c r="J34" s="20">
        <v>45858</v>
      </c>
      <c r="K34" s="2" t="s">
        <v>273</v>
      </c>
      <c r="L34" s="2" t="s">
        <v>225</v>
      </c>
      <c r="M34" s="2" t="s">
        <v>240</v>
      </c>
      <c r="N34" s="21">
        <v>36</v>
      </c>
    </row>
    <row r="35" spans="10:14" x14ac:dyDescent="0.25">
      <c r="J35" s="20">
        <v>45860</v>
      </c>
      <c r="K35" s="2" t="s">
        <v>274</v>
      </c>
      <c r="L35" s="2" t="s">
        <v>218</v>
      </c>
      <c r="M35" s="2" t="s">
        <v>238</v>
      </c>
      <c r="N35" s="21">
        <v>6790</v>
      </c>
    </row>
    <row r="36" spans="10:14" x14ac:dyDescent="0.25">
      <c r="J36" s="20">
        <v>45862</v>
      </c>
      <c r="K36" s="2" t="s">
        <v>275</v>
      </c>
      <c r="L36" s="2" t="s">
        <v>227</v>
      </c>
      <c r="M36" s="2" t="s">
        <v>238</v>
      </c>
      <c r="N36" s="21">
        <v>7240</v>
      </c>
    </row>
    <row r="37" spans="10:14" x14ac:dyDescent="0.25">
      <c r="J37" s="20">
        <v>45863</v>
      </c>
      <c r="K37" s="2" t="s">
        <v>276</v>
      </c>
      <c r="L37" s="2" t="s">
        <v>218</v>
      </c>
      <c r="M37" s="2" t="s">
        <v>238</v>
      </c>
      <c r="N37" s="21">
        <v>7150</v>
      </c>
    </row>
    <row r="38" spans="10:14" x14ac:dyDescent="0.25">
      <c r="J38" s="20">
        <v>45866</v>
      </c>
      <c r="K38" s="2" t="s">
        <v>277</v>
      </c>
      <c r="L38" s="2" t="s">
        <v>227</v>
      </c>
      <c r="M38" s="2" t="s">
        <v>238</v>
      </c>
      <c r="N38" s="21">
        <v>9020</v>
      </c>
    </row>
    <row r="39" spans="10:14" x14ac:dyDescent="0.25">
      <c r="J39" s="20">
        <v>45867</v>
      </c>
      <c r="K39" s="2" t="s">
        <v>278</v>
      </c>
      <c r="L39" s="2" t="s">
        <v>224</v>
      </c>
      <c r="M39" s="2" t="s">
        <v>238</v>
      </c>
      <c r="N39" s="21">
        <v>8100</v>
      </c>
    </row>
    <row r="40" spans="10:14" x14ac:dyDescent="0.25">
      <c r="J40" s="20">
        <v>45871</v>
      </c>
      <c r="K40" s="2" t="s">
        <v>279</v>
      </c>
      <c r="L40" s="2" t="s">
        <v>226</v>
      </c>
      <c r="M40" s="2" t="s">
        <v>240</v>
      </c>
      <c r="N40" s="21">
        <v>22265</v>
      </c>
    </row>
    <row r="41" spans="10:14" x14ac:dyDescent="0.25">
      <c r="J41" s="20">
        <v>45872</v>
      </c>
      <c r="K41" s="2" t="s">
        <v>280</v>
      </c>
      <c r="L41" s="2" t="s">
        <v>226</v>
      </c>
      <c r="M41" s="2" t="s">
        <v>240</v>
      </c>
      <c r="N41" s="21">
        <v>35</v>
      </c>
    </row>
    <row r="42" spans="10:14" x14ac:dyDescent="0.25">
      <c r="J42" s="20">
        <v>45872</v>
      </c>
      <c r="K42" s="2" t="s">
        <v>281</v>
      </c>
      <c r="L42" s="2" t="s">
        <v>219</v>
      </c>
      <c r="M42" s="2" t="s">
        <v>239</v>
      </c>
      <c r="N42" s="21">
        <v>7150</v>
      </c>
    </row>
    <row r="43" spans="10:14" x14ac:dyDescent="0.25">
      <c r="J43" s="20">
        <v>45873</v>
      </c>
      <c r="K43" s="2" t="s">
        <v>282</v>
      </c>
      <c r="L43" s="2" t="s">
        <v>228</v>
      </c>
      <c r="M43" s="2" t="s">
        <v>238</v>
      </c>
      <c r="N43" s="21">
        <v>10560</v>
      </c>
    </row>
    <row r="44" spans="10:14" x14ac:dyDescent="0.25">
      <c r="J44" s="20">
        <v>45879</v>
      </c>
      <c r="K44" s="2" t="s">
        <v>283</v>
      </c>
      <c r="L44" s="2" t="s">
        <v>221</v>
      </c>
      <c r="M44" s="2" t="s">
        <v>238</v>
      </c>
      <c r="N44" s="21">
        <v>10580</v>
      </c>
    </row>
    <row r="45" spans="10:14" x14ac:dyDescent="0.25">
      <c r="J45" s="20">
        <v>45879</v>
      </c>
      <c r="K45" s="2" t="s">
        <v>284</v>
      </c>
      <c r="L45" s="2" t="s">
        <v>224</v>
      </c>
      <c r="M45" s="2" t="s">
        <v>238</v>
      </c>
      <c r="N45" s="21">
        <v>7940</v>
      </c>
    </row>
    <row r="46" spans="10:14" x14ac:dyDescent="0.25">
      <c r="J46" s="20">
        <v>45879</v>
      </c>
      <c r="K46" s="2" t="s">
        <v>285</v>
      </c>
      <c r="L46" s="2" t="s">
        <v>229</v>
      </c>
      <c r="M46" s="2" t="s">
        <v>238</v>
      </c>
      <c r="N46" s="21">
        <v>6590</v>
      </c>
    </row>
    <row r="47" spans="10:14" x14ac:dyDescent="0.25">
      <c r="J47" s="20">
        <v>45880</v>
      </c>
      <c r="K47" s="2" t="s">
        <v>286</v>
      </c>
      <c r="L47" s="2" t="s">
        <v>225</v>
      </c>
      <c r="M47" s="2" t="s">
        <v>240</v>
      </c>
      <c r="N47" s="21">
        <v>21771</v>
      </c>
    </row>
    <row r="48" spans="10:14" x14ac:dyDescent="0.25">
      <c r="J48" s="20">
        <v>45880</v>
      </c>
      <c r="K48" s="2" t="s">
        <v>287</v>
      </c>
      <c r="L48" s="2" t="s">
        <v>225</v>
      </c>
      <c r="M48" s="2" t="s">
        <v>240</v>
      </c>
      <c r="N48" s="21">
        <v>79</v>
      </c>
    </row>
    <row r="49" spans="10:14" x14ac:dyDescent="0.25">
      <c r="J49" s="20">
        <v>45895</v>
      </c>
      <c r="K49" s="2" t="s">
        <v>288</v>
      </c>
      <c r="L49" s="2" t="s">
        <v>223</v>
      </c>
      <c r="M49" s="2" t="s">
        <v>238</v>
      </c>
      <c r="N49" s="21">
        <v>8610</v>
      </c>
    </row>
    <row r="50" spans="10:14" x14ac:dyDescent="0.25">
      <c r="J50" s="20">
        <v>45895</v>
      </c>
      <c r="K50" s="2" t="s">
        <v>289</v>
      </c>
      <c r="L50" s="2" t="s">
        <v>229</v>
      </c>
      <c r="M50" s="2" t="s">
        <v>238</v>
      </c>
      <c r="N50" s="21">
        <v>9380</v>
      </c>
    </row>
    <row r="51" spans="10:14" x14ac:dyDescent="0.25">
      <c r="J51" s="20">
        <v>45897</v>
      </c>
      <c r="K51" s="2" t="s">
        <v>290</v>
      </c>
      <c r="L51" s="2" t="s">
        <v>230</v>
      </c>
      <c r="M51" s="2" t="s">
        <v>238</v>
      </c>
      <c r="N51" s="21">
        <v>9180</v>
      </c>
    </row>
    <row r="52" spans="10:14" x14ac:dyDescent="0.25">
      <c r="J52" s="20">
        <v>45900</v>
      </c>
      <c r="K52" s="2" t="s">
        <v>291</v>
      </c>
      <c r="L52" s="2" t="s">
        <v>219</v>
      </c>
      <c r="M52" s="2" t="s">
        <v>239</v>
      </c>
      <c r="N52" s="21">
        <v>3830</v>
      </c>
    </row>
    <row r="53" spans="10:14" x14ac:dyDescent="0.25">
      <c r="J53" s="20">
        <v>45908</v>
      </c>
      <c r="K53" s="2" t="s">
        <v>292</v>
      </c>
      <c r="L53" s="2" t="s">
        <v>229</v>
      </c>
      <c r="M53" s="2" t="s">
        <v>238</v>
      </c>
      <c r="N53" s="21">
        <v>9730</v>
      </c>
    </row>
    <row r="54" spans="10:14" x14ac:dyDescent="0.25">
      <c r="J54" s="20">
        <v>45909</v>
      </c>
      <c r="K54" s="2" t="s">
        <v>293</v>
      </c>
      <c r="L54" s="2" t="s">
        <v>225</v>
      </c>
      <c r="M54" s="2" t="s">
        <v>240</v>
      </c>
      <c r="N54" s="21">
        <v>21903</v>
      </c>
    </row>
    <row r="55" spans="10:14" x14ac:dyDescent="0.25">
      <c r="J55" s="20">
        <v>45910</v>
      </c>
      <c r="K55" s="2" t="s">
        <v>294</v>
      </c>
      <c r="L55" s="2" t="s">
        <v>225</v>
      </c>
      <c r="M55" s="2" t="s">
        <v>240</v>
      </c>
      <c r="N55" s="21">
        <v>67</v>
      </c>
    </row>
    <row r="56" spans="10:14" x14ac:dyDescent="0.25">
      <c r="J56" s="20">
        <v>45911</v>
      </c>
      <c r="K56" s="2" t="s">
        <v>295</v>
      </c>
      <c r="L56" s="2" t="s">
        <v>224</v>
      </c>
      <c r="M56" s="2" t="s">
        <v>238</v>
      </c>
      <c r="N56" s="21">
        <v>10040</v>
      </c>
    </row>
    <row r="57" spans="10:14" x14ac:dyDescent="0.25">
      <c r="J57" s="20">
        <v>45918</v>
      </c>
      <c r="K57" s="2" t="s">
        <v>296</v>
      </c>
      <c r="L57" s="2" t="s">
        <v>230</v>
      </c>
      <c r="M57" s="2" t="s">
        <v>238</v>
      </c>
      <c r="N57" s="21">
        <v>10640</v>
      </c>
    </row>
    <row r="58" spans="10:14" x14ac:dyDescent="0.25">
      <c r="J58" s="20">
        <v>45922</v>
      </c>
      <c r="K58" s="2" t="s">
        <v>297</v>
      </c>
      <c r="L58" s="2" t="s">
        <v>221</v>
      </c>
      <c r="M58" s="2" t="s">
        <v>238</v>
      </c>
      <c r="N58" s="21">
        <v>8830</v>
      </c>
    </row>
    <row r="59" spans="10:14" x14ac:dyDescent="0.25">
      <c r="J59" s="20">
        <v>45925</v>
      </c>
      <c r="K59" s="2" t="s">
        <v>298</v>
      </c>
      <c r="L59" s="2" t="s">
        <v>229</v>
      </c>
      <c r="M59" s="2" t="s">
        <v>238</v>
      </c>
      <c r="N59" s="21">
        <v>10130</v>
      </c>
    </row>
    <row r="60" spans="10:14" x14ac:dyDescent="0.25">
      <c r="J60" s="20">
        <v>45926</v>
      </c>
      <c r="K60" s="2" t="s">
        <v>299</v>
      </c>
      <c r="L60" s="2" t="s">
        <v>219</v>
      </c>
      <c r="M60" s="2" t="s">
        <v>239</v>
      </c>
      <c r="N60" s="21">
        <v>4510</v>
      </c>
    </row>
    <row r="61" spans="10:14" x14ac:dyDescent="0.25">
      <c r="J61" s="20">
        <v>45927</v>
      </c>
      <c r="K61" s="2" t="s">
        <v>300</v>
      </c>
      <c r="L61" s="2" t="s">
        <v>223</v>
      </c>
      <c r="M61" s="2" t="s">
        <v>238</v>
      </c>
      <c r="N61" s="21">
        <v>7870</v>
      </c>
    </row>
    <row r="62" spans="10:14" x14ac:dyDescent="0.25">
      <c r="J62" s="20">
        <v>45928</v>
      </c>
      <c r="K62" s="2" t="s">
        <v>301</v>
      </c>
      <c r="L62" s="2" t="s">
        <v>231</v>
      </c>
      <c r="M62" s="2" t="s">
        <v>238</v>
      </c>
      <c r="N62" s="21">
        <v>9540</v>
      </c>
    </row>
    <row r="63" spans="10:14" x14ac:dyDescent="0.25">
      <c r="J63" s="20">
        <v>45936</v>
      </c>
      <c r="K63" s="2" t="s">
        <v>302</v>
      </c>
      <c r="L63" s="2" t="s">
        <v>225</v>
      </c>
      <c r="M63" s="2" t="s">
        <v>240</v>
      </c>
      <c r="N63" s="21">
        <v>22602</v>
      </c>
    </row>
    <row r="64" spans="10:14" x14ac:dyDescent="0.25">
      <c r="J64" s="20">
        <v>45936</v>
      </c>
      <c r="K64" s="2" t="s">
        <v>303</v>
      </c>
      <c r="L64" s="2" t="s">
        <v>232</v>
      </c>
      <c r="M64" s="2" t="s">
        <v>240</v>
      </c>
      <c r="N64" s="21">
        <v>22565</v>
      </c>
    </row>
    <row r="65" spans="10:14" x14ac:dyDescent="0.25">
      <c r="J65" s="20">
        <v>45936</v>
      </c>
      <c r="K65" s="2" t="s">
        <v>304</v>
      </c>
      <c r="L65" s="2" t="s">
        <v>225</v>
      </c>
      <c r="M65" s="2" t="s">
        <v>240</v>
      </c>
      <c r="N65" s="21">
        <v>98</v>
      </c>
    </row>
    <row r="66" spans="10:14" x14ac:dyDescent="0.25">
      <c r="J66" s="20">
        <v>45941</v>
      </c>
      <c r="K66" s="2" t="s">
        <v>305</v>
      </c>
      <c r="L66" s="2" t="s">
        <v>221</v>
      </c>
      <c r="M66" s="2" t="s">
        <v>238</v>
      </c>
      <c r="N66" s="21">
        <v>10840</v>
      </c>
    </row>
    <row r="67" spans="10:14" x14ac:dyDescent="0.25">
      <c r="J67" s="20">
        <v>45942</v>
      </c>
      <c r="K67" s="2" t="s">
        <v>306</v>
      </c>
      <c r="L67" s="2" t="s">
        <v>229</v>
      </c>
      <c r="M67" s="2" t="s">
        <v>238</v>
      </c>
      <c r="N67" s="21">
        <v>10450</v>
      </c>
    </row>
    <row r="68" spans="10:14" x14ac:dyDescent="0.25">
      <c r="J68" s="20">
        <v>45943</v>
      </c>
      <c r="K68" s="2" t="s">
        <v>307</v>
      </c>
      <c r="L68" s="2" t="s">
        <v>224</v>
      </c>
      <c r="M68" s="2" t="s">
        <v>238</v>
      </c>
      <c r="N68" s="21">
        <v>8300</v>
      </c>
    </row>
    <row r="69" spans="10:14" x14ac:dyDescent="0.25">
      <c r="J69" s="20">
        <v>45948</v>
      </c>
      <c r="K69" s="2" t="s">
        <v>308</v>
      </c>
      <c r="L69" s="2" t="s">
        <v>219</v>
      </c>
      <c r="M69" s="2" t="s">
        <v>239</v>
      </c>
      <c r="N69" s="21">
        <v>3770</v>
      </c>
    </row>
    <row r="70" spans="10:14" x14ac:dyDescent="0.25">
      <c r="J70" s="20">
        <v>45969</v>
      </c>
      <c r="K70" s="2" t="s">
        <v>309</v>
      </c>
      <c r="L70" s="2" t="s">
        <v>224</v>
      </c>
      <c r="M70" s="2" t="s">
        <v>238</v>
      </c>
      <c r="N70" s="21">
        <v>7940</v>
      </c>
    </row>
    <row r="71" spans="10:14" x14ac:dyDescent="0.25">
      <c r="J71" s="20">
        <v>45969</v>
      </c>
      <c r="K71" s="2" t="s">
        <v>310</v>
      </c>
      <c r="L71" s="2" t="s">
        <v>221</v>
      </c>
      <c r="M71" s="2" t="s">
        <v>238</v>
      </c>
      <c r="N71" s="21">
        <v>10590</v>
      </c>
    </row>
    <row r="72" spans="10:14" x14ac:dyDescent="0.25">
      <c r="J72" s="20">
        <v>45971</v>
      </c>
      <c r="K72" s="2" t="s">
        <v>311</v>
      </c>
      <c r="L72" s="2" t="s">
        <v>229</v>
      </c>
      <c r="M72" s="2" t="s">
        <v>238</v>
      </c>
      <c r="N72" s="21">
        <v>9770</v>
      </c>
    </row>
    <row r="73" spans="10:14" x14ac:dyDescent="0.25">
      <c r="J73" s="20">
        <v>45972</v>
      </c>
      <c r="K73" s="2" t="s">
        <v>312</v>
      </c>
      <c r="L73" s="2" t="s">
        <v>231</v>
      </c>
      <c r="M73" s="2" t="s">
        <v>238</v>
      </c>
      <c r="N73" s="21">
        <v>7260</v>
      </c>
    </row>
    <row r="74" spans="10:14" x14ac:dyDescent="0.25">
      <c r="J74" s="20">
        <v>45974</v>
      </c>
      <c r="K74" s="2" t="s">
        <v>313</v>
      </c>
      <c r="L74" s="2" t="s">
        <v>219</v>
      </c>
      <c r="M74" s="2" t="s">
        <v>239</v>
      </c>
      <c r="N74" s="21">
        <v>3240</v>
      </c>
    </row>
    <row r="75" spans="10:14" x14ac:dyDescent="0.25">
      <c r="J75" s="20">
        <v>45975</v>
      </c>
      <c r="K75" s="2" t="s">
        <v>314</v>
      </c>
      <c r="L75" s="2" t="s">
        <v>225</v>
      </c>
      <c r="M75" s="2" t="s">
        <v>238</v>
      </c>
      <c r="N75" s="21">
        <v>14880</v>
      </c>
    </row>
    <row r="76" spans="10:14" x14ac:dyDescent="0.25">
      <c r="J76" s="20">
        <v>45978</v>
      </c>
      <c r="K76" s="2" t="s">
        <v>315</v>
      </c>
      <c r="L76" s="2" t="s">
        <v>230</v>
      </c>
      <c r="M76" s="2" t="s">
        <v>238</v>
      </c>
      <c r="N76" s="21">
        <v>8260</v>
      </c>
    </row>
    <row r="77" spans="10:14" x14ac:dyDescent="0.25">
      <c r="J77" s="20">
        <v>45979</v>
      </c>
      <c r="K77" s="2" t="s">
        <v>316</v>
      </c>
      <c r="L77" s="2" t="s">
        <v>224</v>
      </c>
      <c r="M77" s="2" t="s">
        <v>238</v>
      </c>
      <c r="N77" s="21">
        <v>3380</v>
      </c>
    </row>
    <row r="78" spans="10:14" x14ac:dyDescent="0.25">
      <c r="J78" s="20">
        <v>45981</v>
      </c>
      <c r="K78" s="2" t="s">
        <v>317</v>
      </c>
      <c r="L78" s="2" t="s">
        <v>224</v>
      </c>
      <c r="M78" s="2" t="s">
        <v>238</v>
      </c>
      <c r="N78" s="21">
        <v>8980</v>
      </c>
    </row>
    <row r="79" spans="10:14" x14ac:dyDescent="0.25">
      <c r="J79" s="20">
        <v>45982</v>
      </c>
      <c r="K79" s="2" t="s">
        <v>318</v>
      </c>
      <c r="L79" s="2" t="s">
        <v>221</v>
      </c>
      <c r="M79" s="2" t="s">
        <v>238</v>
      </c>
      <c r="N79" s="21">
        <v>8850</v>
      </c>
    </row>
    <row r="80" spans="10:14" x14ac:dyDescent="0.25">
      <c r="J80" s="20">
        <v>45984</v>
      </c>
      <c r="K80" s="2" t="s">
        <v>319</v>
      </c>
      <c r="L80" s="2" t="s">
        <v>229</v>
      </c>
      <c r="M80" s="2" t="s">
        <v>238</v>
      </c>
      <c r="N80" s="21">
        <v>10000</v>
      </c>
    </row>
    <row r="81" spans="10:14" x14ac:dyDescent="0.25">
      <c r="J81" s="20">
        <v>45985</v>
      </c>
      <c r="K81" s="2" t="s">
        <v>320</v>
      </c>
      <c r="L81" s="2" t="s">
        <v>226</v>
      </c>
      <c r="M81" s="2" t="s">
        <v>240</v>
      </c>
      <c r="N81" s="21">
        <v>35450</v>
      </c>
    </row>
    <row r="82" spans="10:14" x14ac:dyDescent="0.25">
      <c r="J82" s="20">
        <v>45989</v>
      </c>
      <c r="K82" s="2" t="s">
        <v>321</v>
      </c>
      <c r="L82" s="2" t="s">
        <v>224</v>
      </c>
      <c r="M82" s="2" t="s">
        <v>241</v>
      </c>
      <c r="N82" s="21">
        <v>4965</v>
      </c>
    </row>
    <row r="83" spans="10:14" x14ac:dyDescent="0.25">
      <c r="J83" s="20">
        <v>45989</v>
      </c>
      <c r="K83" s="2" t="s">
        <v>322</v>
      </c>
      <c r="L83" s="2" t="s">
        <v>230</v>
      </c>
      <c r="M83" s="2" t="s">
        <v>238</v>
      </c>
      <c r="N83" s="21">
        <v>8930</v>
      </c>
    </row>
    <row r="84" spans="10:14" x14ac:dyDescent="0.25">
      <c r="J84" s="20">
        <v>45991</v>
      </c>
      <c r="K84" s="2" t="s">
        <v>323</v>
      </c>
      <c r="L84" s="2" t="s">
        <v>225</v>
      </c>
      <c r="M84" s="2" t="s">
        <v>240</v>
      </c>
      <c r="N84" s="21">
        <v>16590</v>
      </c>
    </row>
    <row r="85" spans="10:14" x14ac:dyDescent="0.25">
      <c r="J85" s="20">
        <v>45991</v>
      </c>
      <c r="K85" s="2" t="s">
        <v>324</v>
      </c>
      <c r="L85" s="2" t="s">
        <v>226</v>
      </c>
      <c r="M85" s="2" t="s">
        <v>240</v>
      </c>
      <c r="N85" s="21">
        <v>17400</v>
      </c>
    </row>
    <row r="86" spans="10:14" x14ac:dyDescent="0.25">
      <c r="J86" s="20">
        <v>45995</v>
      </c>
      <c r="K86" s="2" t="s">
        <v>325</v>
      </c>
      <c r="L86" s="2" t="s">
        <v>229</v>
      </c>
      <c r="M86" s="2" t="s">
        <v>238</v>
      </c>
      <c r="N86" s="21">
        <v>7350</v>
      </c>
    </row>
    <row r="87" spans="10:14" x14ac:dyDescent="0.25">
      <c r="J87" s="20">
        <v>45999</v>
      </c>
      <c r="K87" s="2" t="s">
        <v>326</v>
      </c>
      <c r="L87" s="2" t="s">
        <v>221</v>
      </c>
      <c r="M87" s="2" t="s">
        <v>238</v>
      </c>
      <c r="N87" s="21">
        <v>7690</v>
      </c>
    </row>
    <row r="88" spans="10:14" x14ac:dyDescent="0.25">
      <c r="J88" s="20">
        <v>45999</v>
      </c>
      <c r="K88" s="2" t="s">
        <v>327</v>
      </c>
      <c r="L88" s="2" t="s">
        <v>224</v>
      </c>
      <c r="M88" s="2" t="s">
        <v>238</v>
      </c>
      <c r="N88" s="21">
        <v>6980</v>
      </c>
    </row>
    <row r="89" spans="10:14" x14ac:dyDescent="0.25">
      <c r="J89" s="20">
        <v>46003</v>
      </c>
      <c r="K89" s="2" t="s">
        <v>328</v>
      </c>
      <c r="L89" s="2" t="s">
        <v>224</v>
      </c>
      <c r="M89" s="2" t="s">
        <v>238</v>
      </c>
      <c r="N89" s="21">
        <v>6710</v>
      </c>
    </row>
    <row r="90" spans="10:14" x14ac:dyDescent="0.25">
      <c r="J90" s="20">
        <v>46003</v>
      </c>
      <c r="K90" s="2" t="s">
        <v>329</v>
      </c>
      <c r="L90" s="2" t="s">
        <v>219</v>
      </c>
      <c r="M90" s="2" t="s">
        <v>239</v>
      </c>
      <c r="N90" s="21">
        <v>6640</v>
      </c>
    </row>
    <row r="91" spans="10:14" x14ac:dyDescent="0.25">
      <c r="J91" s="20">
        <v>46003</v>
      </c>
      <c r="K91" s="2" t="s">
        <v>330</v>
      </c>
      <c r="L91" s="2" t="s">
        <v>233</v>
      </c>
      <c r="M91" s="2" t="s">
        <v>238</v>
      </c>
      <c r="N91" s="21">
        <v>8310</v>
      </c>
    </row>
    <row r="92" spans="10:14" x14ac:dyDescent="0.25">
      <c r="J92" s="20">
        <v>46003</v>
      </c>
      <c r="K92" s="2" t="s">
        <v>331</v>
      </c>
      <c r="L92" s="2" t="s">
        <v>229</v>
      </c>
      <c r="M92" s="2" t="s">
        <v>238</v>
      </c>
      <c r="N92" s="21">
        <v>7640</v>
      </c>
    </row>
    <row r="93" spans="10:14" x14ac:dyDescent="0.25">
      <c r="J93" s="20">
        <v>46010</v>
      </c>
      <c r="K93" s="2" t="s">
        <v>332</v>
      </c>
      <c r="L93" s="2" t="s">
        <v>224</v>
      </c>
      <c r="M93" s="2" t="s">
        <v>238</v>
      </c>
      <c r="N93" s="21">
        <v>7520</v>
      </c>
    </row>
    <row r="94" spans="10:14" x14ac:dyDescent="0.25">
      <c r="J94" s="20">
        <v>46012</v>
      </c>
      <c r="K94" s="2" t="s">
        <v>333</v>
      </c>
      <c r="L94" s="2" t="s">
        <v>229</v>
      </c>
      <c r="M94" s="2" t="s">
        <v>238</v>
      </c>
      <c r="N94" s="21">
        <v>9690</v>
      </c>
    </row>
    <row r="95" spans="10:14" x14ac:dyDescent="0.25">
      <c r="J95" s="20">
        <v>46014</v>
      </c>
      <c r="K95" s="2" t="s">
        <v>334</v>
      </c>
      <c r="L95" s="2" t="s">
        <v>221</v>
      </c>
      <c r="M95" s="2" t="s">
        <v>238</v>
      </c>
      <c r="N95" s="21">
        <v>9240</v>
      </c>
    </row>
    <row r="96" spans="10:14" x14ac:dyDescent="0.25">
      <c r="J96" s="20">
        <v>46016</v>
      </c>
      <c r="K96" s="2" t="s">
        <v>335</v>
      </c>
      <c r="L96" s="2" t="s">
        <v>218</v>
      </c>
      <c r="M96" s="2" t="s">
        <v>238</v>
      </c>
      <c r="N96" s="21">
        <v>10130</v>
      </c>
    </row>
    <row r="97" spans="10:14" x14ac:dyDescent="0.25">
      <c r="J97" s="20">
        <v>46018</v>
      </c>
      <c r="K97" s="2" t="s">
        <v>336</v>
      </c>
      <c r="L97" s="2" t="s">
        <v>224</v>
      </c>
      <c r="M97" s="2" t="s">
        <v>238</v>
      </c>
      <c r="N97" s="21">
        <v>8350</v>
      </c>
    </row>
    <row r="98" spans="10:14" x14ac:dyDescent="0.25">
      <c r="J98" s="20">
        <v>46021</v>
      </c>
      <c r="K98" s="2" t="s">
        <v>337</v>
      </c>
      <c r="L98" s="2" t="s">
        <v>233</v>
      </c>
      <c r="M98" s="2" t="s">
        <v>238</v>
      </c>
      <c r="N98" s="21">
        <v>-874</v>
      </c>
    </row>
    <row r="99" spans="10:14" x14ac:dyDescent="0.25">
      <c r="J99" s="20">
        <v>46021</v>
      </c>
      <c r="K99" s="2" t="s">
        <v>338</v>
      </c>
      <c r="L99" s="2" t="s">
        <v>225</v>
      </c>
      <c r="M99" s="2" t="s">
        <v>238</v>
      </c>
      <c r="N99" s="21">
        <v>8530</v>
      </c>
    </row>
    <row r="100" spans="10:14" x14ac:dyDescent="0.25">
      <c r="J100" s="20">
        <v>46021</v>
      </c>
      <c r="K100" s="2" t="s">
        <v>339</v>
      </c>
      <c r="L100" s="2" t="s">
        <v>233</v>
      </c>
      <c r="M100" s="2" t="s">
        <v>238</v>
      </c>
      <c r="N100" s="21">
        <v>959</v>
      </c>
    </row>
    <row r="101" spans="10:14" x14ac:dyDescent="0.25">
      <c r="J101" s="20">
        <v>46023</v>
      </c>
      <c r="K101" s="2" t="s">
        <v>340</v>
      </c>
      <c r="L101" s="2" t="s">
        <v>233</v>
      </c>
      <c r="M101" s="2" t="s">
        <v>241</v>
      </c>
      <c r="N101" s="21">
        <v>5720</v>
      </c>
    </row>
    <row r="102" spans="10:14" x14ac:dyDescent="0.25">
      <c r="J102" s="20">
        <v>46025</v>
      </c>
      <c r="K102" s="2" t="s">
        <v>341</v>
      </c>
      <c r="L102" s="2" t="s">
        <v>229</v>
      </c>
      <c r="M102" s="2" t="s">
        <v>238</v>
      </c>
      <c r="N102" s="21">
        <v>7680</v>
      </c>
    </row>
    <row r="103" spans="10:14" x14ac:dyDescent="0.25">
      <c r="J103" s="20">
        <v>46026</v>
      </c>
      <c r="K103" s="2" t="s">
        <v>342</v>
      </c>
      <c r="L103" s="2" t="s">
        <v>222</v>
      </c>
      <c r="M103" s="2" t="s">
        <v>241</v>
      </c>
      <c r="N103" s="21">
        <v>3690</v>
      </c>
    </row>
    <row r="104" spans="10:14" x14ac:dyDescent="0.25">
      <c r="J104" s="20">
        <v>46027</v>
      </c>
      <c r="K104" s="2" t="s">
        <v>343</v>
      </c>
      <c r="L104" s="2" t="s">
        <v>233</v>
      </c>
      <c r="M104" s="2" t="s">
        <v>242</v>
      </c>
      <c r="N104" s="21">
        <v>20166</v>
      </c>
    </row>
    <row r="105" spans="10:14" x14ac:dyDescent="0.25">
      <c r="J105" s="20">
        <v>46030</v>
      </c>
      <c r="K105" s="2" t="s">
        <v>344</v>
      </c>
      <c r="L105" s="2" t="s">
        <v>234</v>
      </c>
      <c r="M105" s="2" t="s">
        <v>238</v>
      </c>
      <c r="N105" s="21">
        <v>3090</v>
      </c>
    </row>
    <row r="106" spans="10:14" x14ac:dyDescent="0.25">
      <c r="J106" s="20">
        <v>46030</v>
      </c>
      <c r="K106" s="2" t="s">
        <v>345</v>
      </c>
      <c r="L106" s="2" t="s">
        <v>218</v>
      </c>
      <c r="M106" s="2" t="s">
        <v>238</v>
      </c>
      <c r="N106" s="21">
        <v>7840</v>
      </c>
    </row>
    <row r="107" spans="10:14" x14ac:dyDescent="0.25">
      <c r="J107" s="20">
        <v>46033</v>
      </c>
      <c r="K107" s="2" t="s">
        <v>346</v>
      </c>
      <c r="L107" s="2" t="s">
        <v>221</v>
      </c>
      <c r="M107" s="2" t="s">
        <v>238</v>
      </c>
      <c r="N107" s="21">
        <v>9730</v>
      </c>
    </row>
    <row r="108" spans="10:14" x14ac:dyDescent="0.25">
      <c r="J108" s="20">
        <v>46033</v>
      </c>
      <c r="K108" s="2" t="s">
        <v>347</v>
      </c>
      <c r="L108" s="2" t="s">
        <v>218</v>
      </c>
      <c r="M108" s="2" t="s">
        <v>238</v>
      </c>
      <c r="N108" s="21">
        <v>8420</v>
      </c>
    </row>
    <row r="109" spans="10:14" x14ac:dyDescent="0.25">
      <c r="J109" s="20">
        <v>46034</v>
      </c>
      <c r="K109" s="2" t="s">
        <v>348</v>
      </c>
      <c r="L109" s="2" t="s">
        <v>229</v>
      </c>
      <c r="M109" s="2" t="s">
        <v>238</v>
      </c>
      <c r="N109" s="21">
        <v>8670</v>
      </c>
    </row>
    <row r="110" spans="10:14" x14ac:dyDescent="0.25">
      <c r="J110" s="20">
        <v>46042</v>
      </c>
      <c r="K110" s="2" t="s">
        <v>349</v>
      </c>
      <c r="L110" s="2" t="s">
        <v>218</v>
      </c>
      <c r="M110" s="2" t="s">
        <v>238</v>
      </c>
      <c r="N110" s="21">
        <v>8970</v>
      </c>
    </row>
    <row r="111" spans="10:14" x14ac:dyDescent="0.25">
      <c r="J111" s="20">
        <v>46044</v>
      </c>
      <c r="K111" s="2" t="s">
        <v>350</v>
      </c>
      <c r="L111" s="2" t="s">
        <v>219</v>
      </c>
      <c r="M111" s="2" t="s">
        <v>239</v>
      </c>
      <c r="N111" s="21">
        <v>5250</v>
      </c>
    </row>
    <row r="112" spans="10:14" x14ac:dyDescent="0.25">
      <c r="J112" s="20">
        <v>46044</v>
      </c>
      <c r="K112" s="2" t="s">
        <v>351</v>
      </c>
      <c r="L112" s="2" t="s">
        <v>229</v>
      </c>
      <c r="M112" s="2" t="s">
        <v>238</v>
      </c>
      <c r="N112" s="21">
        <v>9180</v>
      </c>
    </row>
    <row r="113" spans="10:14" x14ac:dyDescent="0.25">
      <c r="J113" s="20">
        <v>46049</v>
      </c>
      <c r="K113" s="2" t="s">
        <v>352</v>
      </c>
      <c r="L113" s="2" t="s">
        <v>219</v>
      </c>
      <c r="M113" s="2" t="s">
        <v>239</v>
      </c>
      <c r="N113" s="21">
        <v>2290</v>
      </c>
    </row>
    <row r="114" spans="10:14" x14ac:dyDescent="0.25">
      <c r="J114" s="20">
        <v>46049</v>
      </c>
      <c r="K114" s="2" t="s">
        <v>353</v>
      </c>
      <c r="L114" s="2" t="s">
        <v>235</v>
      </c>
      <c r="M114" s="2" t="s">
        <v>238</v>
      </c>
      <c r="N114" s="21">
        <v>8390</v>
      </c>
    </row>
    <row r="115" spans="10:14" x14ac:dyDescent="0.25">
      <c r="J115" s="20">
        <v>46053</v>
      </c>
      <c r="K115" s="2" t="s">
        <v>354</v>
      </c>
      <c r="L115" s="2" t="s">
        <v>221</v>
      </c>
      <c r="M115" s="2" t="s">
        <v>238</v>
      </c>
      <c r="N115" s="21">
        <v>8470</v>
      </c>
    </row>
    <row r="116" spans="10:14" x14ac:dyDescent="0.25">
      <c r="J116" s="20">
        <v>46053</v>
      </c>
      <c r="K116" s="2" t="s">
        <v>355</v>
      </c>
      <c r="L116" s="2" t="s">
        <v>229</v>
      </c>
      <c r="M116" s="2" t="s">
        <v>238</v>
      </c>
      <c r="N116" s="21">
        <v>7100</v>
      </c>
    </row>
    <row r="117" spans="10:14" x14ac:dyDescent="0.25">
      <c r="J117" s="20">
        <v>46054</v>
      </c>
      <c r="K117" s="2" t="s">
        <v>356</v>
      </c>
      <c r="L117" s="2" t="s">
        <v>233</v>
      </c>
      <c r="M117" s="2" t="s">
        <v>242</v>
      </c>
      <c r="N117" s="21">
        <v>5390</v>
      </c>
    </row>
    <row r="118" spans="10:14" x14ac:dyDescent="0.25">
      <c r="J118" s="20">
        <v>46060</v>
      </c>
      <c r="K118" s="2" t="s">
        <v>357</v>
      </c>
      <c r="L118" s="2" t="s">
        <v>233</v>
      </c>
      <c r="M118" s="2" t="s">
        <v>242</v>
      </c>
      <c r="N118" s="21">
        <v>5720</v>
      </c>
    </row>
    <row r="119" spans="10:14" x14ac:dyDescent="0.25">
      <c r="J119" s="20">
        <v>46061</v>
      </c>
      <c r="K119" s="2" t="s">
        <v>358</v>
      </c>
      <c r="L119" s="2" t="s">
        <v>197</v>
      </c>
      <c r="M119" s="2" t="s">
        <v>238</v>
      </c>
      <c r="N119" s="21">
        <v>25670</v>
      </c>
    </row>
    <row r="120" spans="10:14" x14ac:dyDescent="0.25">
      <c r="J120" s="20">
        <v>46062</v>
      </c>
      <c r="K120" s="2" t="s">
        <v>359</v>
      </c>
      <c r="L120" s="2" t="s">
        <v>218</v>
      </c>
      <c r="M120" s="2" t="s">
        <v>238</v>
      </c>
      <c r="N120" s="21">
        <v>7600</v>
      </c>
    </row>
    <row r="121" spans="10:14" x14ac:dyDescent="0.25">
      <c r="J121" s="20">
        <v>46062</v>
      </c>
      <c r="K121" s="2" t="s">
        <v>360</v>
      </c>
      <c r="L121" s="2" t="s">
        <v>229</v>
      </c>
      <c r="M121" s="2" t="s">
        <v>238</v>
      </c>
      <c r="N121" s="21">
        <v>6830</v>
      </c>
    </row>
    <row r="122" spans="10:14" x14ac:dyDescent="0.25">
      <c r="J122" s="20">
        <v>46067</v>
      </c>
      <c r="K122" s="2" t="s">
        <v>361</v>
      </c>
      <c r="L122" s="2" t="s">
        <v>236</v>
      </c>
      <c r="M122" s="2" t="s">
        <v>238</v>
      </c>
      <c r="N122" s="21">
        <v>9900</v>
      </c>
    </row>
    <row r="123" spans="10:14" x14ac:dyDescent="0.25">
      <c r="J123" s="20">
        <v>46068</v>
      </c>
      <c r="K123" s="2" t="s">
        <v>362</v>
      </c>
      <c r="L123" s="2" t="s">
        <v>229</v>
      </c>
      <c r="M123" s="2" t="s">
        <v>238</v>
      </c>
      <c r="N123" s="21">
        <v>6690</v>
      </c>
    </row>
    <row r="124" spans="10:14" x14ac:dyDescent="0.25">
      <c r="J124" s="20">
        <v>46069</v>
      </c>
      <c r="K124" s="2" t="s">
        <v>363</v>
      </c>
      <c r="L124" s="2" t="s">
        <v>224</v>
      </c>
      <c r="M124" s="2" t="s">
        <v>238</v>
      </c>
      <c r="N124" s="21">
        <v>3080</v>
      </c>
    </row>
    <row r="125" spans="10:14" x14ac:dyDescent="0.25">
      <c r="J125" s="20">
        <v>46070</v>
      </c>
      <c r="K125" s="2" t="s">
        <v>364</v>
      </c>
      <c r="L125" s="2" t="s">
        <v>233</v>
      </c>
      <c r="M125" s="2" t="s">
        <v>242</v>
      </c>
      <c r="N125" s="21">
        <v>5600</v>
      </c>
    </row>
    <row r="126" spans="10:14" x14ac:dyDescent="0.25">
      <c r="J126" s="20">
        <v>46072</v>
      </c>
      <c r="K126" s="2" t="s">
        <v>365</v>
      </c>
      <c r="L126" s="2" t="s">
        <v>218</v>
      </c>
      <c r="M126" s="2" t="s">
        <v>238</v>
      </c>
      <c r="N126" s="21">
        <v>6740</v>
      </c>
    </row>
    <row r="127" spans="10:14" x14ac:dyDescent="0.25">
      <c r="J127" s="20">
        <v>46073</v>
      </c>
      <c r="K127" s="2" t="s">
        <v>366</v>
      </c>
      <c r="L127" s="2" t="s">
        <v>222</v>
      </c>
      <c r="M127" s="2" t="s">
        <v>242</v>
      </c>
      <c r="N127" s="21">
        <v>5740</v>
      </c>
    </row>
    <row r="128" spans="10:14" x14ac:dyDescent="0.25">
      <c r="J128" s="20">
        <v>46074</v>
      </c>
      <c r="K128" s="2" t="s">
        <v>367</v>
      </c>
      <c r="L128" s="2" t="s">
        <v>221</v>
      </c>
      <c r="M128" s="2" t="s">
        <v>242</v>
      </c>
      <c r="N128" s="21">
        <v>5320</v>
      </c>
    </row>
    <row r="129" spans="10:14" x14ac:dyDescent="0.25">
      <c r="J129" s="20">
        <v>46075</v>
      </c>
      <c r="K129" s="2" t="s">
        <v>368</v>
      </c>
      <c r="L129" s="2" t="s">
        <v>229</v>
      </c>
      <c r="M129" s="2" t="s">
        <v>238</v>
      </c>
      <c r="N129" s="21">
        <v>5340</v>
      </c>
    </row>
    <row r="130" spans="10:14" x14ac:dyDescent="0.25">
      <c r="J130" s="20">
        <v>46076</v>
      </c>
      <c r="K130" s="2" t="s">
        <v>369</v>
      </c>
      <c r="L130" s="2" t="s">
        <v>236</v>
      </c>
      <c r="M130" s="2" t="s">
        <v>242</v>
      </c>
      <c r="N130" s="21">
        <v>5500</v>
      </c>
    </row>
    <row r="131" spans="10:14" x14ac:dyDescent="0.25">
      <c r="J131" s="20">
        <v>46077</v>
      </c>
      <c r="K131" s="2" t="s">
        <v>370</v>
      </c>
      <c r="L131" s="2" t="s">
        <v>233</v>
      </c>
      <c r="M131" s="2" t="s">
        <v>242</v>
      </c>
      <c r="N131" s="21">
        <v>5730</v>
      </c>
    </row>
    <row r="132" spans="10:14" x14ac:dyDescent="0.25">
      <c r="J132" s="20">
        <v>46077</v>
      </c>
      <c r="K132" s="2" t="s">
        <v>371</v>
      </c>
      <c r="L132" s="2" t="s">
        <v>236</v>
      </c>
      <c r="M132" s="2" t="s">
        <v>242</v>
      </c>
      <c r="N132" s="21">
        <v>5980</v>
      </c>
    </row>
    <row r="133" spans="10:14" x14ac:dyDescent="0.25">
      <c r="J133" s="20">
        <v>46080</v>
      </c>
      <c r="K133" s="2" t="s">
        <v>372</v>
      </c>
      <c r="L133" s="2" t="s">
        <v>229</v>
      </c>
      <c r="M133" s="2" t="s">
        <v>238</v>
      </c>
      <c r="N133" s="21">
        <v>7450</v>
      </c>
    </row>
    <row r="134" spans="10:14" x14ac:dyDescent="0.25">
      <c r="J134" s="20">
        <v>46080</v>
      </c>
      <c r="K134" s="2" t="s">
        <v>373</v>
      </c>
      <c r="L134" s="2" t="s">
        <v>236</v>
      </c>
      <c r="M134" s="2" t="s">
        <v>242</v>
      </c>
      <c r="N134" s="21">
        <v>5690</v>
      </c>
    </row>
    <row r="135" spans="10:14" x14ac:dyDescent="0.25">
      <c r="J135" s="20">
        <v>46082</v>
      </c>
      <c r="K135" s="2" t="s">
        <v>374</v>
      </c>
      <c r="L135" s="2" t="s">
        <v>236</v>
      </c>
      <c r="M135" s="2" t="s">
        <v>242</v>
      </c>
      <c r="N135" s="21">
        <v>4980</v>
      </c>
    </row>
    <row r="136" spans="10:14" x14ac:dyDescent="0.25">
      <c r="J136" s="20">
        <v>46083</v>
      </c>
      <c r="K136" s="2" t="s">
        <v>375</v>
      </c>
      <c r="L136" s="2" t="s">
        <v>221</v>
      </c>
      <c r="M136" s="2" t="s">
        <v>243</v>
      </c>
      <c r="N136" s="21">
        <v>3050</v>
      </c>
    </row>
    <row r="137" spans="10:14" x14ac:dyDescent="0.25">
      <c r="J137" s="20">
        <v>46083</v>
      </c>
      <c r="K137" s="2" t="s">
        <v>376</v>
      </c>
      <c r="L137" s="2" t="s">
        <v>233</v>
      </c>
      <c r="M137" s="2" t="s">
        <v>242</v>
      </c>
      <c r="N137" s="21">
        <v>5060</v>
      </c>
    </row>
    <row r="138" spans="10:14" x14ac:dyDescent="0.25">
      <c r="J138" s="20">
        <v>46083</v>
      </c>
      <c r="K138" s="2" t="s">
        <v>377</v>
      </c>
      <c r="L138" s="2" t="s">
        <v>236</v>
      </c>
      <c r="M138" s="2" t="s">
        <v>242</v>
      </c>
      <c r="N138" s="21">
        <v>5810</v>
      </c>
    </row>
    <row r="139" spans="10:14" x14ac:dyDescent="0.25">
      <c r="J139" s="20">
        <v>46084</v>
      </c>
      <c r="K139" s="2" t="s">
        <v>378</v>
      </c>
      <c r="L139" s="2" t="s">
        <v>236</v>
      </c>
      <c r="M139" s="2" t="s">
        <v>242</v>
      </c>
      <c r="N139" s="21">
        <v>6520</v>
      </c>
    </row>
    <row r="140" spans="10:14" x14ac:dyDescent="0.25">
      <c r="J140" s="20">
        <v>46087</v>
      </c>
      <c r="K140" s="2" t="s">
        <v>379</v>
      </c>
      <c r="L140" s="2" t="s">
        <v>218</v>
      </c>
      <c r="M140" s="2" t="s">
        <v>238</v>
      </c>
      <c r="N140" s="21">
        <v>4660</v>
      </c>
    </row>
    <row r="141" spans="10:14" x14ac:dyDescent="0.25">
      <c r="J141" s="20">
        <v>46087</v>
      </c>
      <c r="K141" s="2" t="s">
        <v>380</v>
      </c>
      <c r="L141" s="2" t="s">
        <v>224</v>
      </c>
      <c r="M141" s="2" t="s">
        <v>238</v>
      </c>
      <c r="N141" s="21">
        <v>3340</v>
      </c>
    </row>
    <row r="142" spans="10:14" x14ac:dyDescent="0.25">
      <c r="J142" s="20">
        <v>46087</v>
      </c>
      <c r="K142" s="2" t="s">
        <v>381</v>
      </c>
      <c r="L142" s="2" t="s">
        <v>229</v>
      </c>
      <c r="M142" s="2" t="s">
        <v>238</v>
      </c>
      <c r="N142" s="21">
        <v>7720</v>
      </c>
    </row>
    <row r="143" spans="10:14" x14ac:dyDescent="0.25">
      <c r="J143" s="20">
        <v>46089</v>
      </c>
      <c r="K143" s="2" t="s">
        <v>382</v>
      </c>
      <c r="L143" s="2" t="s">
        <v>233</v>
      </c>
      <c r="M143" s="2" t="s">
        <v>242</v>
      </c>
      <c r="N143" s="21">
        <v>4600</v>
      </c>
    </row>
    <row r="144" spans="10:14" x14ac:dyDescent="0.25">
      <c r="J144" s="20">
        <v>46095</v>
      </c>
      <c r="K144" s="2" t="s">
        <v>383</v>
      </c>
      <c r="L144" s="2" t="s">
        <v>233</v>
      </c>
      <c r="M144" s="2" t="s">
        <v>242</v>
      </c>
      <c r="N144" s="21">
        <v>5280</v>
      </c>
    </row>
    <row r="145" spans="10:14" x14ac:dyDescent="0.25">
      <c r="J145" s="20">
        <v>46095</v>
      </c>
      <c r="K145" s="2" t="s">
        <v>384</v>
      </c>
      <c r="L145" s="2" t="s">
        <v>229</v>
      </c>
      <c r="M145" s="2" t="s">
        <v>238</v>
      </c>
      <c r="N145" s="21">
        <v>7860</v>
      </c>
    </row>
    <row r="146" spans="10:14" x14ac:dyDescent="0.25">
      <c r="J146" s="20">
        <v>46100</v>
      </c>
      <c r="K146" s="2" t="s">
        <v>385</v>
      </c>
      <c r="L146" s="2" t="s">
        <v>229</v>
      </c>
      <c r="M146" s="2" t="s">
        <v>238</v>
      </c>
      <c r="N146" s="21">
        <v>8430</v>
      </c>
    </row>
    <row r="147" spans="10:14" x14ac:dyDescent="0.25">
      <c r="J147" s="20">
        <v>46102</v>
      </c>
      <c r="K147" s="2" t="s">
        <v>386</v>
      </c>
      <c r="L147" s="2" t="s">
        <v>233</v>
      </c>
      <c r="M147" s="2" t="s">
        <v>242</v>
      </c>
      <c r="N147" s="21">
        <v>5810</v>
      </c>
    </row>
    <row r="148" spans="10:14" x14ac:dyDescent="0.25">
      <c r="J148" s="20">
        <v>46103</v>
      </c>
      <c r="K148" s="2" t="s">
        <v>387</v>
      </c>
      <c r="L148" s="2" t="s">
        <v>235</v>
      </c>
      <c r="M148" s="2" t="s">
        <v>241</v>
      </c>
      <c r="N148" s="21">
        <v>4730</v>
      </c>
    </row>
    <row r="149" spans="10:14" x14ac:dyDescent="0.25">
      <c r="J149" s="20">
        <v>46107</v>
      </c>
      <c r="K149" s="2" t="s">
        <v>388</v>
      </c>
      <c r="L149" s="2" t="s">
        <v>233</v>
      </c>
      <c r="M149" s="2" t="s">
        <v>242</v>
      </c>
      <c r="N149" s="21">
        <v>5640</v>
      </c>
    </row>
    <row r="150" spans="10:14" x14ac:dyDescent="0.25">
      <c r="J150" s="20">
        <v>46107</v>
      </c>
      <c r="K150" s="2" t="s">
        <v>389</v>
      </c>
      <c r="L150" s="2" t="s">
        <v>233</v>
      </c>
      <c r="M150" s="2" t="s">
        <v>242</v>
      </c>
      <c r="N150" s="21">
        <v>5530</v>
      </c>
    </row>
    <row r="151" spans="10:14" x14ac:dyDescent="0.25">
      <c r="J151" s="20">
        <v>46109</v>
      </c>
      <c r="K151" s="2" t="s">
        <v>390</v>
      </c>
      <c r="L151" s="2" t="s">
        <v>222</v>
      </c>
      <c r="M151" s="2" t="s">
        <v>241</v>
      </c>
      <c r="N151" s="21">
        <v>4635</v>
      </c>
    </row>
    <row r="152" spans="10:14" x14ac:dyDescent="0.25">
      <c r="J152" s="20">
        <v>46109</v>
      </c>
      <c r="K152" s="2" t="s">
        <v>391</v>
      </c>
      <c r="L152" s="2" t="s">
        <v>235</v>
      </c>
      <c r="M152" s="2" t="s">
        <v>238</v>
      </c>
      <c r="N152" s="21">
        <v>7620</v>
      </c>
    </row>
    <row r="153" spans="10:14" x14ac:dyDescent="0.25">
      <c r="J153" s="20">
        <v>46112</v>
      </c>
      <c r="K153" s="2" t="s">
        <v>392</v>
      </c>
      <c r="L153" s="2" t="s">
        <v>237</v>
      </c>
      <c r="M153" s="2" t="s">
        <v>238</v>
      </c>
      <c r="N153" s="21">
        <v>7680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61C1-2462-4926-9342-6E8E02A20D55}">
  <dimension ref="A1:G13"/>
  <sheetViews>
    <sheetView tabSelected="1" workbookViewId="0">
      <selection activeCell="I21" sqref="I21"/>
    </sheetView>
  </sheetViews>
  <sheetFormatPr defaultRowHeight="15" x14ac:dyDescent="0.25"/>
  <cols>
    <col min="1" max="1" width="18.28515625" customWidth="1"/>
  </cols>
  <sheetData>
    <row r="1" spans="1:7" x14ac:dyDescent="0.25">
      <c r="A1" s="24" t="s">
        <v>393</v>
      </c>
      <c r="B1">
        <v>187563</v>
      </c>
    </row>
    <row r="2" spans="1:7" x14ac:dyDescent="0.25">
      <c r="A2" s="24"/>
    </row>
    <row r="3" spans="1:7" x14ac:dyDescent="0.25">
      <c r="A3" s="24" t="s">
        <v>171</v>
      </c>
      <c r="B3">
        <f>+C3</f>
        <v>1153078</v>
      </c>
      <c r="C3">
        <f>+E11</f>
        <v>1153078</v>
      </c>
      <c r="D3">
        <f>+C3-B3</f>
        <v>0</v>
      </c>
    </row>
    <row r="4" spans="1:7" x14ac:dyDescent="0.25">
      <c r="A4" s="24" t="s">
        <v>396</v>
      </c>
      <c r="B4">
        <f>-190-80</f>
        <v>-270</v>
      </c>
    </row>
    <row r="5" spans="1:7" x14ac:dyDescent="0.25">
      <c r="A5" s="24"/>
      <c r="B5" s="24">
        <f>SUM(B3:B4)</f>
        <v>1152808</v>
      </c>
    </row>
    <row r="6" spans="1:7" x14ac:dyDescent="0.25">
      <c r="A6" s="24"/>
    </row>
    <row r="7" spans="1:7" x14ac:dyDescent="0.25">
      <c r="A7" s="24" t="s">
        <v>216</v>
      </c>
      <c r="B7">
        <f>SUM('Calution KGs Purchase Sales'!N5:N153)</f>
        <v>1236138</v>
      </c>
      <c r="E7">
        <v>103910</v>
      </c>
      <c r="F7">
        <v>23740</v>
      </c>
    </row>
    <row r="8" spans="1:7" x14ac:dyDescent="0.25">
      <c r="A8" s="24" t="s">
        <v>395</v>
      </c>
      <c r="B8">
        <f>-7530-50-874</f>
        <v>-8454</v>
      </c>
      <c r="E8">
        <v>1025188</v>
      </c>
      <c r="F8">
        <v>804609</v>
      </c>
      <c r="G8">
        <v>-8404</v>
      </c>
    </row>
    <row r="9" spans="1:7" x14ac:dyDescent="0.25">
      <c r="B9" s="24">
        <f>SUM(B7:B8)</f>
        <v>1227684</v>
      </c>
      <c r="E9">
        <v>19015</v>
      </c>
      <c r="F9">
        <v>248505</v>
      </c>
    </row>
    <row r="10" spans="1:7" x14ac:dyDescent="0.25">
      <c r="E10">
        <v>4965</v>
      </c>
      <c r="F10">
        <v>120066</v>
      </c>
    </row>
    <row r="11" spans="1:7" x14ac:dyDescent="0.25">
      <c r="A11" s="24" t="s">
        <v>394</v>
      </c>
      <c r="B11">
        <f>+B1+B5-B9</f>
        <v>112687</v>
      </c>
      <c r="E11" s="24">
        <f>SUM(E7:E10)</f>
        <v>1153078</v>
      </c>
      <c r="F11">
        <v>45422</v>
      </c>
    </row>
    <row r="12" spans="1:7" x14ac:dyDescent="0.25">
      <c r="B12">
        <v>100063</v>
      </c>
      <c r="F12" s="24">
        <f>SUM(F7:F11)</f>
        <v>1242342</v>
      </c>
      <c r="G12">
        <f>+F12-B7</f>
        <v>6204</v>
      </c>
    </row>
    <row r="13" spans="1:7" x14ac:dyDescent="0.25">
      <c r="B13">
        <f>+B11-B12</f>
        <v>12624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Sheet8</vt:lpstr>
      <vt:lpstr>DEBIT - Salary</vt:lpstr>
      <vt:lpstr>Credit - Salary</vt:lpstr>
      <vt:lpstr>Calution KGs Purchase 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 Jaykishan Jagad</dc:creator>
  <cp:lastModifiedBy>CA Jaykishan Jagad</cp:lastModifiedBy>
  <cp:lastPrinted>2026-04-07T11:08:05Z</cp:lastPrinted>
  <dcterms:created xsi:type="dcterms:W3CDTF">2026-04-07T11:03:53Z</dcterms:created>
  <dcterms:modified xsi:type="dcterms:W3CDTF">2026-04-08T11:09:35Z</dcterms:modified>
</cp:coreProperties>
</file>