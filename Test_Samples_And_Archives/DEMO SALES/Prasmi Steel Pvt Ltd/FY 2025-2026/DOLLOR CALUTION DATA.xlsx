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"/>
    </mc:Choice>
  </mc:AlternateContent>
  <xr:revisionPtr revIDLastSave="0" documentId="8_{2CCD9481-DBC4-425D-B88A-39E75940C240}" xr6:coauthVersionLast="47" xr6:coauthVersionMax="47" xr10:uidLastSave="{00000000-0000-0000-0000-000000000000}"/>
  <bookViews>
    <workbookView xWindow="4320" yWindow="3510" windowWidth="18000" windowHeight="9270" xr2:uid="{A9B1E569-197B-4A6B-811C-53B7621DE006}"/>
  </bookViews>
  <sheets>
    <sheet name="Forex Paymet" sheetId="1" r:id="rId1"/>
    <sheet name="St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" l="1"/>
  <c r="J19" i="2"/>
  <c r="J17" i="2"/>
  <c r="J15" i="2"/>
  <c r="J13" i="2"/>
  <c r="H13" i="2"/>
  <c r="J11" i="2"/>
  <c r="J9" i="2"/>
  <c r="J7" i="2"/>
  <c r="J5" i="2"/>
</calcChain>
</file>

<file path=xl/sharedStrings.xml><?xml version="1.0" encoding="utf-8"?>
<sst xmlns="http://schemas.openxmlformats.org/spreadsheetml/2006/main" count="21" uniqueCount="21">
  <si>
    <t>Waste scare Ms cast Iron</t>
  </si>
  <si>
    <t>Purchase</t>
  </si>
  <si>
    <t>Sales</t>
  </si>
  <si>
    <t>Closing Stock</t>
  </si>
  <si>
    <t>M S C I G I SCRAP OF IRON &amp; STEEL</t>
  </si>
  <si>
    <t>CAST IRON SCRAP (BHOOKKI)</t>
  </si>
  <si>
    <t>CAST IRON SCRAP</t>
  </si>
  <si>
    <t>CAST IRON HEAVY MELTING SCRAP</t>
  </si>
  <si>
    <t>Cast iron (Rotor-Drum/DiskBreak scrap)</t>
  </si>
  <si>
    <t>CAST IRON (OVERSIZED SCRAP)</t>
  </si>
  <si>
    <t>CAST IRON (COUNTER WEIGHT SCRAP)</t>
  </si>
  <si>
    <t xml:space="preserve"> CAST IRON (Machinery scrap )</t>
  </si>
  <si>
    <t>Opening Stock(QTY)</t>
  </si>
  <si>
    <t>Date</t>
  </si>
  <si>
    <t>CLIENT</t>
  </si>
  <si>
    <t>Usd rate</t>
  </si>
  <si>
    <t>Amount In dollor</t>
  </si>
  <si>
    <t>Inr Amount</t>
  </si>
  <si>
    <t xml:space="preserve">North </t>
  </si>
  <si>
    <t>Qty</t>
  </si>
  <si>
    <t>25013A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</si>
</sst>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4083-D8DD-45AC-BB10-56AD81F2605F}">
  <dimension ref="A2:G19"/>
  <sheetViews>
    <sheetView tabSelected="1" topLeftCell="A2" workbookViewId="0">
      <selection activeCell="F20" sqref="F20"/>
    </sheetView>
  </sheetViews>
  <sheetFormatPr defaultRowHeight="15" x14ac:dyDescent="0.25"/>
  <cols>
    <col min="1" max="1" width="25.5703125" bestFit="1" customWidth="1"/>
    <col min="4" max="4" width="12.42578125" customWidth="1"/>
    <col min="6" max="6" width="15.85546875" bestFit="1" customWidth="1"/>
    <col min="7" max="7" width="17.85546875" bestFit="1" customWidth="1"/>
    <col min="8" max="8" width="15.85546875" bestFit="1" customWidth="1"/>
    <col min="9" max="9" width="13.85546875" customWidth="1"/>
    <col min="10" max="10" width="10.7109375" bestFit="1" customWidth="1"/>
  </cols>
  <sheetData>
    <row r="2" spans="1:7" x14ac:dyDescent="0.25">
      <c r="A2" t="s">
        <v>13</v>
      </c>
      <c r="B2" t="s">
        <v>14</v>
      </c>
      <c r="D2" t="s">
        <v>19</v>
      </c>
      <c r="E2" t="s">
        <v>15</v>
      </c>
      <c r="F2" t="s">
        <v>16</v>
      </c>
      <c r="G2" t="s">
        <v>17</v>
      </c>
    </row>
    <row r="4" spans="1:7" x14ac:dyDescent="0.25">
      <c r="A4" s="1">
        <v>45765</v>
      </c>
      <c r="B4" t="s">
        <v>18</v>
      </c>
      <c r="C4">
        <v>25013</v>
      </c>
      <c r="D4">
        <v>88318</v>
      </c>
      <c r="E4">
        <v>86.4</v>
      </c>
      <c r="F4">
        <v>34002.43</v>
      </c>
      <c r="G4">
        <v>2937809.95</v>
      </c>
    </row>
    <row r="5" spans="1:7" x14ac:dyDescent="0.25">
      <c r="A5" s="1">
        <v>45778</v>
      </c>
      <c r="C5">
        <v>25030</v>
      </c>
      <c r="D5">
        <v>66828</v>
      </c>
      <c r="E5">
        <v>86.4</v>
      </c>
      <c r="F5">
        <v>8792.6299999999992</v>
      </c>
      <c r="G5">
        <v>2222966.59</v>
      </c>
    </row>
    <row r="6" spans="1:7" x14ac:dyDescent="0.25">
      <c r="A6" s="1">
        <v>45782</v>
      </c>
      <c r="C6" t="s">
        <v>20</v>
      </c>
      <c r="D6">
        <v>22838</v>
      </c>
      <c r="E6">
        <v>86.4</v>
      </c>
      <c r="F6">
        <v>8792.6299999999992</v>
      </c>
      <c r="G6">
        <v>759683.23</v>
      </c>
    </row>
    <row r="7" spans="1:7" x14ac:dyDescent="0.25">
      <c r="A7" s="1">
        <v>45790</v>
      </c>
      <c r="C7">
        <v>25030</v>
      </c>
      <c r="D7">
        <v>45980</v>
      </c>
      <c r="E7">
        <v>85.55</v>
      </c>
      <c r="F7">
        <v>17702.3</v>
      </c>
      <c r="G7">
        <v>1514431.77</v>
      </c>
    </row>
    <row r="8" spans="1:7" x14ac:dyDescent="0.25">
      <c r="A8" s="1">
        <v>45849</v>
      </c>
      <c r="C8">
        <v>25093</v>
      </c>
      <c r="D8">
        <v>89273</v>
      </c>
      <c r="E8">
        <v>86.2</v>
      </c>
      <c r="F8">
        <v>30977.73</v>
      </c>
      <c r="G8">
        <v>2670280</v>
      </c>
    </row>
    <row r="9" spans="1:7" x14ac:dyDescent="0.25">
      <c r="A9" s="1">
        <v>45869</v>
      </c>
      <c r="C9">
        <v>25101</v>
      </c>
      <c r="D9">
        <v>22964</v>
      </c>
      <c r="E9">
        <v>86.8</v>
      </c>
      <c r="F9">
        <v>7922.58</v>
      </c>
      <c r="G9">
        <v>687679.94</v>
      </c>
    </row>
    <row r="10" spans="1:7" x14ac:dyDescent="0.25">
      <c r="A10" s="1">
        <v>45869</v>
      </c>
      <c r="C10">
        <v>25088</v>
      </c>
      <c r="D10">
        <v>22265</v>
      </c>
      <c r="E10">
        <v>86.8</v>
      </c>
      <c r="F10">
        <v>7770.49</v>
      </c>
      <c r="G10">
        <v>674478.53</v>
      </c>
    </row>
    <row r="11" spans="1:7" x14ac:dyDescent="0.25">
      <c r="A11" s="1">
        <v>45870</v>
      </c>
      <c r="C11">
        <v>25108</v>
      </c>
      <c r="D11">
        <v>43829</v>
      </c>
      <c r="E11">
        <v>86.8</v>
      </c>
      <c r="F11">
        <v>15230.58</v>
      </c>
      <c r="G11">
        <v>1322014.1299999999</v>
      </c>
    </row>
    <row r="12" spans="1:7" x14ac:dyDescent="0.25">
      <c r="A12" s="1">
        <v>45879</v>
      </c>
      <c r="C12">
        <v>25116</v>
      </c>
      <c r="D12">
        <v>90254</v>
      </c>
      <c r="E12">
        <v>88.6</v>
      </c>
      <c r="F12">
        <v>31408.39</v>
      </c>
      <c r="G12">
        <v>2782783.35</v>
      </c>
    </row>
    <row r="13" spans="1:7" x14ac:dyDescent="0.25">
      <c r="A13" s="1">
        <v>45885</v>
      </c>
      <c r="C13">
        <v>25117</v>
      </c>
      <c r="D13">
        <v>22376</v>
      </c>
      <c r="E13">
        <v>88.6</v>
      </c>
      <c r="F13">
        <v>7786.85</v>
      </c>
      <c r="G13">
        <v>689914.91</v>
      </c>
    </row>
    <row r="14" spans="1:7" x14ac:dyDescent="0.25">
      <c r="A14" s="1">
        <v>45891</v>
      </c>
      <c r="C14">
        <v>25118</v>
      </c>
      <c r="D14">
        <v>23298</v>
      </c>
      <c r="E14">
        <v>87.9</v>
      </c>
      <c r="F14">
        <v>8061.11</v>
      </c>
      <c r="G14">
        <v>708571.57</v>
      </c>
    </row>
    <row r="15" spans="1:7" x14ac:dyDescent="0.25">
      <c r="A15" s="1">
        <v>45891</v>
      </c>
      <c r="C15">
        <v>25119</v>
      </c>
      <c r="D15">
        <v>111123</v>
      </c>
      <c r="E15">
        <v>87.9</v>
      </c>
      <c r="F15">
        <v>39448.67</v>
      </c>
      <c r="G15">
        <v>3467538.09</v>
      </c>
    </row>
    <row r="16" spans="1:7" x14ac:dyDescent="0.25">
      <c r="A16" s="1">
        <v>45904</v>
      </c>
      <c r="C16">
        <v>25133</v>
      </c>
      <c r="D16">
        <v>110760</v>
      </c>
      <c r="E16">
        <v>87.9</v>
      </c>
      <c r="F16">
        <v>39430.559999999998</v>
      </c>
      <c r="G16">
        <v>3465946.22</v>
      </c>
    </row>
    <row r="17" spans="1:7" x14ac:dyDescent="0.25">
      <c r="A17" s="1">
        <v>45913</v>
      </c>
      <c r="C17">
        <v>25139</v>
      </c>
      <c r="D17">
        <v>112009</v>
      </c>
      <c r="E17">
        <v>89</v>
      </c>
      <c r="F17">
        <v>39763.199999999997</v>
      </c>
      <c r="G17">
        <v>3538924.8</v>
      </c>
    </row>
    <row r="18" spans="1:7" x14ac:dyDescent="0.25">
      <c r="A18" s="1">
        <v>45925</v>
      </c>
      <c r="C18">
        <v>25148</v>
      </c>
      <c r="D18">
        <v>45146</v>
      </c>
      <c r="E18">
        <v>88.85</v>
      </c>
      <c r="F18">
        <v>15981.68</v>
      </c>
      <c r="G18">
        <v>1419972.27</v>
      </c>
    </row>
    <row r="19" spans="1:7" x14ac:dyDescent="0.25">
      <c r="A19" s="1">
        <v>45933</v>
      </c>
      <c r="C19">
        <v>25157</v>
      </c>
      <c r="D19">
        <v>23097</v>
      </c>
      <c r="E19">
        <v>89.7</v>
      </c>
      <c r="F19">
        <v>8153.24</v>
      </c>
      <c r="G19">
        <v>731345.63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6318-37E5-4D5E-B002-85A9007F0FE5}">
  <dimension ref="A3:J21"/>
  <sheetViews>
    <sheetView topLeftCell="A3" workbookViewId="0">
      <selection activeCell="B20" sqref="B20"/>
    </sheetView>
  </sheetViews>
  <sheetFormatPr defaultRowHeight="15" x14ac:dyDescent="0.25"/>
  <cols>
    <col min="1" max="1" width="36.85546875" bestFit="1" customWidth="1"/>
    <col min="3" max="3" width="13.28515625" customWidth="1"/>
    <col min="6" max="6" width="9.28515625" bestFit="1" customWidth="1"/>
    <col min="8" max="8" width="16.140625" customWidth="1"/>
    <col min="10" max="10" width="12.7109375" bestFit="1" customWidth="1"/>
  </cols>
  <sheetData>
    <row r="3" spans="1:10" x14ac:dyDescent="0.25">
      <c r="C3" t="s">
        <v>12</v>
      </c>
      <c r="F3" t="s">
        <v>1</v>
      </c>
      <c r="H3" t="s">
        <v>2</v>
      </c>
      <c r="J3" t="s">
        <v>3</v>
      </c>
    </row>
    <row r="5" spans="1:10" x14ac:dyDescent="0.25">
      <c r="A5" t="s">
        <v>0</v>
      </c>
      <c r="C5">
        <v>187563</v>
      </c>
      <c r="F5">
        <v>4965</v>
      </c>
      <c r="H5">
        <v>192499</v>
      </c>
      <c r="J5">
        <f>C5+F5-H5</f>
        <v>29</v>
      </c>
    </row>
    <row r="7" spans="1:10" x14ac:dyDescent="0.25">
      <c r="A7" t="s">
        <v>4</v>
      </c>
      <c r="C7">
        <v>0</v>
      </c>
      <c r="F7">
        <v>19015</v>
      </c>
      <c r="H7">
        <v>0</v>
      </c>
      <c r="J7">
        <f>C7+F7-H7</f>
        <v>19015</v>
      </c>
    </row>
    <row r="9" spans="1:10" x14ac:dyDescent="0.25">
      <c r="A9" t="s">
        <v>5</v>
      </c>
      <c r="C9">
        <v>0</v>
      </c>
      <c r="F9">
        <v>45422</v>
      </c>
      <c r="H9">
        <v>45422</v>
      </c>
      <c r="J9">
        <f>C9+F9-H9</f>
        <v>0</v>
      </c>
    </row>
    <row r="11" spans="1:10" x14ac:dyDescent="0.25">
      <c r="A11" t="s">
        <v>6</v>
      </c>
      <c r="C11">
        <v>0</v>
      </c>
      <c r="F11">
        <v>940358</v>
      </c>
      <c r="H11">
        <v>898868</v>
      </c>
      <c r="J11">
        <f>C11+F11-H11</f>
        <v>41490</v>
      </c>
    </row>
    <row r="13" spans="1:10" x14ac:dyDescent="0.25">
      <c r="A13" t="s">
        <v>7</v>
      </c>
      <c r="C13">
        <v>0</v>
      </c>
      <c r="F13">
        <v>103910</v>
      </c>
      <c r="H13">
        <f>20166+83744</f>
        <v>103910</v>
      </c>
      <c r="J13">
        <f>C13+F13-H13</f>
        <v>0</v>
      </c>
    </row>
    <row r="15" spans="1:10" x14ac:dyDescent="0.25">
      <c r="A15" t="s">
        <v>8</v>
      </c>
      <c r="C15">
        <v>0</v>
      </c>
      <c r="F15">
        <v>108896</v>
      </c>
      <c r="H15">
        <v>120066</v>
      </c>
      <c r="J15">
        <f>C15+F15-H15</f>
        <v>-11170</v>
      </c>
    </row>
    <row r="17" spans="1:10" x14ac:dyDescent="0.25">
      <c r="A17" t="s">
        <v>9</v>
      </c>
      <c r="C17">
        <v>0</v>
      </c>
      <c r="F17">
        <v>248505</v>
      </c>
      <c r="H17">
        <v>248505</v>
      </c>
      <c r="J17">
        <f>C17+F17-H17</f>
        <v>0</v>
      </c>
    </row>
    <row r="19" spans="1:10" x14ac:dyDescent="0.25">
      <c r="A19" t="s">
        <v>10</v>
      </c>
      <c r="C19">
        <v>0</v>
      </c>
      <c r="F19">
        <v>781803</v>
      </c>
      <c r="H19">
        <v>788549</v>
      </c>
      <c r="J19">
        <f>C19+F19-H19</f>
        <v>-6746</v>
      </c>
    </row>
    <row r="21" spans="1:10" x14ac:dyDescent="0.25">
      <c r="A21" t="s">
        <v>11</v>
      </c>
      <c r="C21">
        <v>0</v>
      </c>
      <c r="F21">
        <v>19105</v>
      </c>
      <c r="H21">
        <v>23740</v>
      </c>
      <c r="J21">
        <f>C21+F21-H21</f>
        <v>-4635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Forex Paymet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Jaykishan Jagad</dc:creator>
  <cp:lastModifiedBy>CA Jaykishan Jagad</cp:lastModifiedBy>
  <dcterms:created xsi:type="dcterms:W3CDTF">2026-03-30T12:36:04Z</dcterms:created>
  <dcterms:modified xsi:type="dcterms:W3CDTF">2026-04-02T17:55:46Z</dcterms:modified>
</cp:coreProperties>
</file>