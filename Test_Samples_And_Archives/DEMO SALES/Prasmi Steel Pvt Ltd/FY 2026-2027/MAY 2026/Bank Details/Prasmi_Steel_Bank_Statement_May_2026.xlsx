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ransaction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<sst xmlns="http://schemas.openxmlformats.org/spreadsheetml/2006/main" count="145" uniqueCount="123">
  <si>
    <t>S.No.</t>
  </si>
  <si>
    <t>Transaction ID</t>
  </si>
  <si>
    <t>Transaction Date</t>
  </si>
  <si>
    <t>Description</t>
  </si>
  <si>
    <t>Withdrawal (Dr)</t>
  </si>
  <si>
    <t>Deposit (Cr)</t>
  </si>
  <si>
    <t>Available Balance</t>
  </si>
  <si>
    <t>S58636656</t>
  </si>
  <si>
    <t>UPI/109721366183/WeighbridgeChar/rameshpasvan828//</t>
  </si>
  <si>
    <t>S9458720</t>
  </si>
  <si>
    <t>02-May-2026</t>
  </si>
  <si>
    <t>NEFT-AXISP00793460063-SHREE RAJ CASTECH PRIVATE LI</t>
  </si>
  <si>
    <t>S146619</t>
  </si>
  <si>
    <t>03-May-2026</t>
  </si>
  <si>
    <t>MMT/IMPS/612312370527/DebtReturn/HarshilDAD/HDFC00</t>
  </si>
  <si>
    <t>S147113</t>
  </si>
  <si>
    <t>MMT/IMPS/612312372279/DebtReturn/HarshilMUM/HDFC00</t>
  </si>
  <si>
    <t>S169320</t>
  </si>
  <si>
    <t>MMT/IMPS/612312440564/Advance May26/MunimLabou/KKBK</t>
  </si>
  <si>
    <t>S1156324</t>
  </si>
  <si>
    <t>04-May-2026</t>
  </si>
  <si>
    <t>RTGS-UTIBR62026050474481777-KIASON METAL CAST PRIV</t>
  </si>
  <si>
    <t>S3663991</t>
  </si>
  <si>
    <t>06-May-2026</t>
  </si>
  <si>
    <t>MMT/IMPS/612612914094/Advance May26Mith/aiLoth/IDIB</t>
  </si>
  <si>
    <t>S4072866</t>
  </si>
  <si>
    <t>MMT/IMPS/612618747972/Advance May26Mad/huLabouIDI/B</t>
  </si>
  <si>
    <t>S4660549</t>
  </si>
  <si>
    <t>07-May-2026</t>
  </si>
  <si>
    <t>MMT/IMPS/612710758405/SalaryApril26/DineshLaba/IDI</t>
  </si>
  <si>
    <t>S55013510</t>
  </si>
  <si>
    <t>RTGS-KKBKR52026050700911280-KRUPA METAL-7912899555</t>
  </si>
  <si>
    <t>S6253284</t>
  </si>
  <si>
    <t>08-May-2026</t>
  </si>
  <si>
    <t>INF/NEFT/IN42612853244813/KKBK0000831/PurchaseAdva</t>
  </si>
  <si>
    <t>S6988389</t>
  </si>
  <si>
    <t>09-May-2026</t>
  </si>
  <si>
    <t>RTGS-UTIBR62026050975772103-KIASON METAL CAST PRIV</t>
  </si>
  <si>
    <t>S7873440</t>
  </si>
  <si>
    <t>10-May-2026</t>
  </si>
  <si>
    <t>MMT/IMPS/613020579645/RentMay26/piplanare/ΙΟΒΑ000</t>
  </si>
  <si>
    <t>S58406337</t>
  </si>
  <si>
    <t>11-May-2026</t>
  </si>
  <si>
    <t>UPI/109789868828/Tractor Transpor/ajaychhaiya24@o//</t>
  </si>
  <si>
    <t>S8461338</t>
  </si>
  <si>
    <t>MMT/IMPS/613111381992/PurchaseP04/AkashEleAC/UTIBO</t>
  </si>
  <si>
    <t>S58676631</t>
  </si>
  <si>
    <t>MMT/IMPS/613115837495/RemunerationApr/HarshilSBI/S</t>
  </si>
  <si>
    <t>M356253</t>
  </si>
  <si>
    <t>12-May-2026</t>
  </si>
  <si>
    <t>CLG/HARSODA</t>
  </si>
  <si>
    <t>S327491</t>
  </si>
  <si>
    <t>13-May-2026</t>
  </si>
  <si>
    <t>TECHNOCAST/001122/KMB/09.05.2026 UPI/109801977844/Diesel3323/paytm.s16u4oj@p//ICI2e</t>
  </si>
  <si>
    <t>S451540</t>
  </si>
  <si>
    <t>Mob alrt chg Feb-26+GST</t>
  </si>
  <si>
    <t>S2339514</t>
  </si>
  <si>
    <t>15-May-2026</t>
  </si>
  <si>
    <t>UPI/109816278080/Drinking Water/8780453866@ybl//ICI</t>
  </si>
  <si>
    <t>S2370009</t>
  </si>
  <si>
    <t>UPI/109816575820/PSPL16Transport/7046696674-2@ib//</t>
  </si>
  <si>
    <t>S2754670</t>
  </si>
  <si>
    <t>MMT/IMPS/613517015914/Advance May26/PINTULOTHA/IDIB</t>
  </si>
  <si>
    <t>S3429833</t>
  </si>
  <si>
    <t>16-May-2026</t>
  </si>
  <si>
    <t>NEFT-CBINH26136303987-REVOLVING TECHNO CAST-ATTNSC</t>
  </si>
  <si>
    <t>S3603909</t>
  </si>
  <si>
    <t>MMT/IMPS/613617753066/KKBKTransfer/JK IMPEX Kota</t>
  </si>
  <si>
    <t>S3952084</t>
  </si>
  <si>
    <t>17-May-2026</t>
  </si>
  <si>
    <t>MMT/IMPS/613709480717/SalaryApril26/HiralalPos/IPO</t>
  </si>
  <si>
    <t>MMT/IMPS/613709482312/SalaryApril26/Mithailoth/IDI/</t>
  </si>
  <si>
    <t>S3952822</t>
  </si>
  <si>
    <t>MMT/IMPS/613709482826/SalaryApril26/keshaviabo/IDI</t>
  </si>
  <si>
    <t>S4917056</t>
  </si>
  <si>
    <t>18-May-2026</t>
  </si>
  <si>
    <t>MMT/IMPS/613817710890/Advance May26/PINTULOTHA/IDIB</t>
  </si>
  <si>
    <t>S5004943</t>
  </si>
  <si>
    <t>UPI/109838204489/toolsHardwareit/pratikvala103-1//</t>
  </si>
  <si>
    <t>S5457181</t>
  </si>
  <si>
    <t>19-May-2026</t>
  </si>
  <si>
    <t>UPI/109841666719/PSPL26Transport/ajaychhaiya24@o//</t>
  </si>
  <si>
    <t>S7261152</t>
  </si>
  <si>
    <t>21-May-2026</t>
  </si>
  <si>
    <t>UPI/109853645091/HScuttingtools/8320942578@axl//l</t>
  </si>
  <si>
    <t>22-May-2026</t>
  </si>
  <si>
    <t>RTGS-UTIBR62026052278513598-KIASON METAL CAST PRIV</t>
  </si>
  <si>
    <t>S8134856</t>
  </si>
  <si>
    <t>UPI/109860182044/Handgloves/rmalaviya78@oka//ICI8d</t>
  </si>
  <si>
    <t>S179657</t>
  </si>
  <si>
    <t>25-May-2026</t>
  </si>
  <si>
    <t>BIL/ONL/001209593452/Reliance R/Jio WIFI</t>
  </si>
  <si>
    <t>S396953</t>
  </si>
  <si>
    <t>RTGS/ICICR42026052500549777/KKBK0000831/JK IMPEX</t>
  </si>
  <si>
    <t>S1127247</t>
  </si>
  <si>
    <t>26-May-2026</t>
  </si>
  <si>
    <t>NEFT-CBINH26146177585-REVOLVING TECHNO CAST-ATTNSC</t>
  </si>
  <si>
    <t>S1340071</t>
  </si>
  <si>
    <t>MMT/IMPS/614615977835/Purchase Bill32/DEEPJYOTEN/HD</t>
  </si>
  <si>
    <t>S1457938</t>
  </si>
  <si>
    <t>RTGS/ICICR42026052600563907/HDFC0005875/NK IMPEX</t>
  </si>
  <si>
    <t>S1494008</t>
  </si>
  <si>
    <t>MMT/IMPS/614617307916/CounterUnloadin/PINTULOTHA/I</t>
  </si>
  <si>
    <t>S1962438</t>
  </si>
  <si>
    <t>27-May-2026</t>
  </si>
  <si>
    <t>MMT/IMPS/614709050077/SalaryAdvanceMaMi/thaiLoth/l</t>
  </si>
  <si>
    <t>S1964613</t>
  </si>
  <si>
    <t>MMT/IMPS/614709057371/Advance May26/PINTULOTHA/IDIB</t>
  </si>
  <si>
    <t>S2931380</t>
  </si>
  <si>
    <t>28-May-2026</t>
  </si>
  <si>
    <t>RTGS-KKBKR52026052800792155-KRUPA METAL-7912899555</t>
  </si>
  <si>
    <t>S3673049</t>
  </si>
  <si>
    <t>29-May-2026</t>
  </si>
  <si>
    <t>NEFT-CBINH26149434722-PRUSHTI TECHNOCAST-ATTNPRASM</t>
  </si>
  <si>
    <t>S4110455</t>
  </si>
  <si>
    <t>MMT/IMPS/614916126856/KKBKTransfer/JK IMPEX /Kota</t>
  </si>
  <si>
    <t>S4165021</t>
  </si>
  <si>
    <t>UPI/109904764143/HSCUTTINGTOOLS/sksantoshpatel1//</t>
  </si>
  <si>
    <t>S4442211</t>
  </si>
  <si>
    <t>INF/NEFT/IN42614958110349/HDFC0005875/PurchaseNK58</t>
  </si>
  <si>
    <t>S5368499</t>
  </si>
  <si>
    <t>30-May-2026</t>
  </si>
  <si>
    <t>UPI/109912147640/HS SCUTTINGTOOLS/sksantoshpatel1//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</si>
</sst>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;@"/>
    <numFmt numFmtId="181" formatCode="dd\-mmm\-yy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9"/>
        <bgColor rgb="FFF2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18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18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4" fontId="3" fillId="0" borderId="2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topLeftCell="A36" workbookViewId="0">
      <selection activeCell="E2" sqref="E2:F48"/>
    </sheetView>
  </sheetViews>
  <sheetFormatPr defaultColWidth="9" defaultRowHeight="15"/>
  <cols>
    <col min="1" max="1" width="5.42857142857143" customWidth="1"/>
    <col min="2" max="2" width="17" customWidth="1"/>
    <col min="3" max="3" width="19" customWidth="1"/>
    <col min="4" max="4" width="55" customWidth="1"/>
    <col min="5" max="5" width="18" customWidth="1"/>
    <col min="6" max="6" width="15" customWidth="1"/>
    <col min="7" max="7" width="20" customWidth="1"/>
    <col min="10" max="10" width="10.8571428571429" style="1" customWidth="1"/>
  </cols>
  <sheetData>
    <row r="1" ht="2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>
      <c r="A2" s="3">
        <v>1</v>
      </c>
      <c r="B2" s="4" t="s">
        <v>7</v>
      </c>
      <c r="C2" s="5">
        <v>46143</v>
      </c>
      <c r="D2" s="6" t="s">
        <v>8</v>
      </c>
      <c r="E2" s="7">
        <v>150</v>
      </c>
      <c r="F2" s="8"/>
      <c r="G2" s="7">
        <v>459348.88</v>
      </c>
      <c r="J2" s="1" t="str">
        <f>TEXT(C2,"dd/mm/yyyy")</f>
        <v>01/05/2026</v>
      </c>
    </row>
    <row r="3" spans="1:10">
      <c r="A3" s="9">
        <v>2</v>
      </c>
      <c r="B3" s="9" t="s">
        <v>9</v>
      </c>
      <c r="C3" s="9" t="s">
        <v>10</v>
      </c>
      <c r="D3" s="10" t="s">
        <v>11</v>
      </c>
      <c r="E3" s="11"/>
      <c r="F3" s="12">
        <v>275836</v>
      </c>
      <c r="G3" s="12">
        <v>735184.88</v>
      </c>
      <c r="J3" s="1" t="str">
        <f t="shared" ref="J3:J48" si="0">TEXT(C3,"dd/mm/yyyy")</f>
        <v>02/05/2026</v>
      </c>
    </row>
    <row r="4" spans="1:10">
      <c r="A4" s="3">
        <v>3</v>
      </c>
      <c r="B4" s="3" t="s">
        <v>12</v>
      </c>
      <c r="C4" s="3" t="s">
        <v>13</v>
      </c>
      <c r="D4" s="6" t="s">
        <v>14</v>
      </c>
      <c r="E4" s="7">
        <v>400000</v>
      </c>
      <c r="F4" s="8"/>
      <c r="G4" s="7">
        <v>335184.88</v>
      </c>
      <c r="J4" s="1" t="str">
        <f t="shared" si="0"/>
        <v>03/05/2026</v>
      </c>
    </row>
    <row r="5" spans="1:10">
      <c r="A5" s="9">
        <v>4</v>
      </c>
      <c r="B5" s="9" t="s">
        <v>15</v>
      </c>
      <c r="C5" s="9" t="s">
        <v>13</v>
      </c>
      <c r="D5" s="10" t="s">
        <v>16</v>
      </c>
      <c r="E5" s="12">
        <v>100000</v>
      </c>
      <c r="F5" s="11"/>
      <c r="G5" s="12">
        <v>235184.88</v>
      </c>
      <c r="J5" s="1" t="str">
        <f t="shared" si="0"/>
        <v>03/05/2026</v>
      </c>
    </row>
    <row r="6" spans="1:10">
      <c r="A6" s="3">
        <v>5</v>
      </c>
      <c r="B6" s="3" t="s">
        <v>17</v>
      </c>
      <c r="C6" s="3" t="s">
        <v>13</v>
      </c>
      <c r="D6" s="6" t="s">
        <v>18</v>
      </c>
      <c r="E6" s="7">
        <v>3000</v>
      </c>
      <c r="F6" s="8"/>
      <c r="G6" s="7">
        <v>232184.88</v>
      </c>
      <c r="J6" s="1" t="str">
        <f t="shared" si="0"/>
        <v>03/05/2026</v>
      </c>
    </row>
    <row r="7" spans="1:10">
      <c r="A7" s="9">
        <v>6</v>
      </c>
      <c r="B7" s="9" t="s">
        <v>19</v>
      </c>
      <c r="C7" s="9" t="s">
        <v>20</v>
      </c>
      <c r="D7" s="10" t="s">
        <v>21</v>
      </c>
      <c r="E7" s="11"/>
      <c r="F7" s="12">
        <v>258544</v>
      </c>
      <c r="G7" s="12">
        <v>490728.88</v>
      </c>
      <c r="J7" s="1" t="str">
        <f t="shared" si="0"/>
        <v>04/05/2026</v>
      </c>
    </row>
    <row r="8" spans="1:10">
      <c r="A8" s="3">
        <v>7</v>
      </c>
      <c r="B8" s="3" t="s">
        <v>22</v>
      </c>
      <c r="C8" s="3" t="s">
        <v>23</v>
      </c>
      <c r="D8" s="6" t="s">
        <v>24</v>
      </c>
      <c r="E8" s="7">
        <v>4000</v>
      </c>
      <c r="F8" s="8"/>
      <c r="G8" s="7">
        <v>486728.88</v>
      </c>
      <c r="J8" s="1" t="str">
        <f t="shared" si="0"/>
        <v>06/05/2026</v>
      </c>
    </row>
    <row r="9" spans="1:10">
      <c r="A9" s="9">
        <v>8</v>
      </c>
      <c r="B9" s="9" t="s">
        <v>25</v>
      </c>
      <c r="C9" s="9" t="s">
        <v>23</v>
      </c>
      <c r="D9" s="10" t="s">
        <v>26</v>
      </c>
      <c r="E9" s="12">
        <v>12000</v>
      </c>
      <c r="F9" s="11"/>
      <c r="G9" s="12">
        <v>474728.88</v>
      </c>
      <c r="J9" s="1" t="str">
        <f t="shared" si="0"/>
        <v>06/05/2026</v>
      </c>
    </row>
    <row r="10" spans="1:10">
      <c r="A10" s="3">
        <v>9</v>
      </c>
      <c r="B10" s="3" t="s">
        <v>27</v>
      </c>
      <c r="C10" s="3" t="s">
        <v>28</v>
      </c>
      <c r="D10" s="6" t="s">
        <v>29</v>
      </c>
      <c r="E10" s="7">
        <v>2000</v>
      </c>
      <c r="F10" s="8"/>
      <c r="G10" s="7">
        <v>472728.88</v>
      </c>
      <c r="J10" s="1" t="str">
        <f t="shared" si="0"/>
        <v>07/05/2026</v>
      </c>
    </row>
    <row r="11" spans="1:10">
      <c r="A11" s="9">
        <v>10</v>
      </c>
      <c r="B11" s="9" t="s">
        <v>30</v>
      </c>
      <c r="C11" s="9" t="s">
        <v>28</v>
      </c>
      <c r="D11" s="10" t="s">
        <v>31</v>
      </c>
      <c r="E11" s="11"/>
      <c r="F11" s="12">
        <v>385236</v>
      </c>
      <c r="G11" s="12">
        <v>857964.88</v>
      </c>
      <c r="J11" s="1" t="str">
        <f t="shared" si="0"/>
        <v>07/05/2026</v>
      </c>
    </row>
    <row r="12" spans="1:10">
      <c r="A12" s="3">
        <v>11</v>
      </c>
      <c r="B12" s="3" t="s">
        <v>32</v>
      </c>
      <c r="C12" s="3" t="s">
        <v>33</v>
      </c>
      <c r="D12" s="6" t="s">
        <v>34</v>
      </c>
      <c r="E12" s="7">
        <v>750000</v>
      </c>
      <c r="F12" s="8"/>
      <c r="G12" s="7">
        <v>107964.88</v>
      </c>
      <c r="J12" s="1" t="str">
        <f t="shared" si="0"/>
        <v>08/05/2026</v>
      </c>
    </row>
    <row r="13" spans="1:10">
      <c r="A13" s="9">
        <v>12</v>
      </c>
      <c r="B13" s="9" t="s">
        <v>35</v>
      </c>
      <c r="C13" s="9" t="s">
        <v>36</v>
      </c>
      <c r="D13" s="10" t="s">
        <v>37</v>
      </c>
      <c r="E13" s="11"/>
      <c r="F13" s="12">
        <v>334026</v>
      </c>
      <c r="G13" s="12">
        <v>441990.88</v>
      </c>
      <c r="J13" s="1" t="str">
        <f t="shared" si="0"/>
        <v>09/05/2026</v>
      </c>
    </row>
    <row r="14" spans="1:10">
      <c r="A14" s="3">
        <v>13</v>
      </c>
      <c r="B14" s="3" t="s">
        <v>38</v>
      </c>
      <c r="C14" s="3" t="s">
        <v>39</v>
      </c>
      <c r="D14" s="6" t="s">
        <v>40</v>
      </c>
      <c r="E14" s="7">
        <v>10000</v>
      </c>
      <c r="F14" s="8"/>
      <c r="G14" s="7">
        <v>431990.88</v>
      </c>
      <c r="J14" s="1" t="str">
        <f t="shared" si="0"/>
        <v>10/05/2026</v>
      </c>
    </row>
    <row r="15" spans="1:10">
      <c r="A15" s="9">
        <v>14</v>
      </c>
      <c r="B15" s="9" t="s">
        <v>41</v>
      </c>
      <c r="C15" s="9" t="s">
        <v>42</v>
      </c>
      <c r="D15" s="10" t="s">
        <v>43</v>
      </c>
      <c r="E15" s="12">
        <v>3400</v>
      </c>
      <c r="F15" s="11"/>
      <c r="G15" s="12">
        <v>428590.88</v>
      </c>
      <c r="J15" s="1" t="str">
        <f t="shared" si="0"/>
        <v>11/05/2026</v>
      </c>
    </row>
    <row r="16" spans="1:10">
      <c r="A16" s="3">
        <v>15</v>
      </c>
      <c r="B16" s="3" t="s">
        <v>44</v>
      </c>
      <c r="C16" s="3" t="s">
        <v>42</v>
      </c>
      <c r="D16" s="6" t="s">
        <v>45</v>
      </c>
      <c r="E16" s="7">
        <v>37500</v>
      </c>
      <c r="F16" s="8"/>
      <c r="G16" s="7">
        <v>391090.88</v>
      </c>
      <c r="J16" s="1" t="str">
        <f t="shared" si="0"/>
        <v>11/05/2026</v>
      </c>
    </row>
    <row r="17" spans="1:10">
      <c r="A17" s="9">
        <v>16</v>
      </c>
      <c r="B17" s="9" t="s">
        <v>46</v>
      </c>
      <c r="C17" s="9" t="s">
        <v>42</v>
      </c>
      <c r="D17" s="10" t="s">
        <v>47</v>
      </c>
      <c r="E17" s="12">
        <v>30000</v>
      </c>
      <c r="F17" s="11"/>
      <c r="G17" s="12">
        <v>361090.88</v>
      </c>
      <c r="J17" s="1" t="str">
        <f t="shared" si="0"/>
        <v>11/05/2026</v>
      </c>
    </row>
    <row r="18" spans="1:10">
      <c r="A18" s="3">
        <v>17</v>
      </c>
      <c r="B18" s="3" t="s">
        <v>48</v>
      </c>
      <c r="C18" s="3" t="s">
        <v>49</v>
      </c>
      <c r="D18" s="6" t="s">
        <v>50</v>
      </c>
      <c r="E18" s="8"/>
      <c r="F18" s="7">
        <v>450392</v>
      </c>
      <c r="G18" s="7">
        <v>811482.88</v>
      </c>
      <c r="J18" s="1" t="str">
        <f t="shared" si="0"/>
        <v>12/05/2026</v>
      </c>
    </row>
    <row r="19" spans="1:10">
      <c r="A19" s="9">
        <v>18</v>
      </c>
      <c r="B19" s="9" t="s">
        <v>51</v>
      </c>
      <c r="C19" s="9" t="s">
        <v>52</v>
      </c>
      <c r="D19" s="10" t="s">
        <v>53</v>
      </c>
      <c r="E19" s="12">
        <v>4260</v>
      </c>
      <c r="F19" s="11"/>
      <c r="G19" s="12">
        <v>807222.88</v>
      </c>
      <c r="J19" s="1" t="str">
        <f t="shared" si="0"/>
        <v>13/05/2026</v>
      </c>
    </row>
    <row r="20" spans="1:10">
      <c r="A20" s="3">
        <v>19</v>
      </c>
      <c r="B20" s="3" t="s">
        <v>54</v>
      </c>
      <c r="C20" s="3" t="s">
        <v>52</v>
      </c>
      <c r="D20" s="6" t="s">
        <v>55</v>
      </c>
      <c r="E20" s="7">
        <v>29.5</v>
      </c>
      <c r="F20" s="8"/>
      <c r="G20" s="7">
        <v>807193.38</v>
      </c>
      <c r="J20" s="1" t="str">
        <f t="shared" si="0"/>
        <v>13/05/2026</v>
      </c>
    </row>
    <row r="21" spans="1:10">
      <c r="A21" s="9">
        <v>20</v>
      </c>
      <c r="B21" s="9" t="s">
        <v>56</v>
      </c>
      <c r="C21" s="9" t="s">
        <v>57</v>
      </c>
      <c r="D21" s="10" t="s">
        <v>58</v>
      </c>
      <c r="E21" s="12">
        <v>3400</v>
      </c>
      <c r="F21" s="11"/>
      <c r="G21" s="12">
        <v>803793.38</v>
      </c>
      <c r="J21" s="1" t="str">
        <f t="shared" si="0"/>
        <v>15/05/2026</v>
      </c>
    </row>
    <row r="22" spans="1:10">
      <c r="A22" s="3">
        <v>21</v>
      </c>
      <c r="B22" s="3" t="s">
        <v>59</v>
      </c>
      <c r="C22" s="3" t="s">
        <v>57</v>
      </c>
      <c r="D22" s="6" t="s">
        <v>60</v>
      </c>
      <c r="E22" s="7">
        <v>2540</v>
      </c>
      <c r="F22" s="8"/>
      <c r="G22" s="7">
        <v>801253.38</v>
      </c>
      <c r="J22" s="1" t="str">
        <f t="shared" si="0"/>
        <v>15/05/2026</v>
      </c>
    </row>
    <row r="23" spans="1:10">
      <c r="A23" s="9">
        <v>22</v>
      </c>
      <c r="B23" s="9" t="s">
        <v>61</v>
      </c>
      <c r="C23" s="9" t="s">
        <v>57</v>
      </c>
      <c r="D23" s="10" t="s">
        <v>62</v>
      </c>
      <c r="E23" s="12">
        <v>5000</v>
      </c>
      <c r="F23" s="11"/>
      <c r="G23" s="12">
        <v>796253.38</v>
      </c>
      <c r="J23" s="1" t="str">
        <f t="shared" si="0"/>
        <v>15/05/2026</v>
      </c>
    </row>
    <row r="24" spans="1:10">
      <c r="A24" s="3">
        <v>23</v>
      </c>
      <c r="B24" s="3" t="s">
        <v>63</v>
      </c>
      <c r="C24" s="3" t="s">
        <v>64</v>
      </c>
      <c r="D24" s="6" t="s">
        <v>65</v>
      </c>
      <c r="E24" s="8"/>
      <c r="F24" s="7">
        <v>521028</v>
      </c>
      <c r="G24" s="7">
        <v>1317281.38</v>
      </c>
      <c r="J24" s="1" t="str">
        <f t="shared" si="0"/>
        <v>16/05/2026</v>
      </c>
    </row>
    <row r="25" spans="1:10">
      <c r="A25" s="9">
        <v>24</v>
      </c>
      <c r="B25" s="9" t="s">
        <v>66</v>
      </c>
      <c r="C25" s="9" t="s">
        <v>64</v>
      </c>
      <c r="D25" s="10" t="s">
        <v>67</v>
      </c>
      <c r="E25" s="12">
        <v>6100</v>
      </c>
      <c r="F25" s="11"/>
      <c r="G25" s="12">
        <v>1311181.38</v>
      </c>
      <c r="J25" s="1" t="str">
        <f t="shared" si="0"/>
        <v>16/05/2026</v>
      </c>
    </row>
    <row r="26" spans="1:10">
      <c r="A26" s="3">
        <v>25</v>
      </c>
      <c r="B26" s="3" t="s">
        <v>68</v>
      </c>
      <c r="C26" s="3" t="s">
        <v>69</v>
      </c>
      <c r="D26" s="6" t="s">
        <v>70</v>
      </c>
      <c r="E26" s="7">
        <v>11940</v>
      </c>
      <c r="F26" s="8"/>
      <c r="G26" s="7">
        <v>1299241.38</v>
      </c>
      <c r="J26" s="1" t="str">
        <f t="shared" si="0"/>
        <v>17/05/2026</v>
      </c>
    </row>
    <row r="27" spans="1:10">
      <c r="A27" s="9">
        <v>26</v>
      </c>
      <c r="B27" s="13">
        <v>53952470</v>
      </c>
      <c r="C27" s="9" t="s">
        <v>69</v>
      </c>
      <c r="D27" s="10" t="s">
        <v>71</v>
      </c>
      <c r="E27" s="12">
        <v>20950</v>
      </c>
      <c r="F27" s="11"/>
      <c r="G27" s="12">
        <v>1278291.38</v>
      </c>
      <c r="J27" s="1" t="str">
        <f t="shared" si="0"/>
        <v>17/05/2026</v>
      </c>
    </row>
    <row r="28" spans="1:10">
      <c r="A28" s="3">
        <v>27</v>
      </c>
      <c r="B28" s="3" t="s">
        <v>72</v>
      </c>
      <c r="C28" s="3" t="s">
        <v>69</v>
      </c>
      <c r="D28" s="6" t="s">
        <v>73</v>
      </c>
      <c r="E28" s="7">
        <v>12500</v>
      </c>
      <c r="F28" s="8"/>
      <c r="G28" s="7">
        <v>1265791.38</v>
      </c>
      <c r="J28" s="1" t="str">
        <f t="shared" si="0"/>
        <v>17/05/2026</v>
      </c>
    </row>
    <row r="29" spans="1:10">
      <c r="A29" s="9">
        <v>28</v>
      </c>
      <c r="B29" s="9" t="s">
        <v>74</v>
      </c>
      <c r="C29" s="9" t="s">
        <v>75</v>
      </c>
      <c r="D29" s="10" t="s">
        <v>76</v>
      </c>
      <c r="E29" s="12">
        <v>2000</v>
      </c>
      <c r="F29" s="11"/>
      <c r="G29" s="12">
        <v>1263791.38</v>
      </c>
      <c r="J29" s="1" t="str">
        <f t="shared" si="0"/>
        <v>18/05/2026</v>
      </c>
    </row>
    <row r="30" spans="1:10">
      <c r="A30" s="3">
        <v>29</v>
      </c>
      <c r="B30" s="3" t="s">
        <v>77</v>
      </c>
      <c r="C30" s="3" t="s">
        <v>75</v>
      </c>
      <c r="D30" s="6" t="s">
        <v>78</v>
      </c>
      <c r="E30" s="7">
        <v>3680</v>
      </c>
      <c r="F30" s="8"/>
      <c r="G30" s="7">
        <v>1260111.38</v>
      </c>
      <c r="J30" s="1" t="str">
        <f t="shared" si="0"/>
        <v>18/05/2026</v>
      </c>
    </row>
    <row r="31" spans="1:10">
      <c r="A31" s="9">
        <v>30</v>
      </c>
      <c r="B31" s="9" t="s">
        <v>79</v>
      </c>
      <c r="C31" s="9" t="s">
        <v>80</v>
      </c>
      <c r="D31" s="10" t="s">
        <v>81</v>
      </c>
      <c r="E31" s="12">
        <v>1000</v>
      </c>
      <c r="F31" s="11"/>
      <c r="G31" s="12">
        <v>1259111.38</v>
      </c>
      <c r="J31" s="1" t="str">
        <f t="shared" si="0"/>
        <v>19/05/2026</v>
      </c>
    </row>
    <row r="32" spans="1:10">
      <c r="A32" s="3">
        <v>31</v>
      </c>
      <c r="B32" s="3" t="s">
        <v>82</v>
      </c>
      <c r="C32" s="3" t="s">
        <v>83</v>
      </c>
      <c r="D32" s="6" t="s">
        <v>84</v>
      </c>
      <c r="E32" s="7">
        <v>2000</v>
      </c>
      <c r="F32" s="8"/>
      <c r="G32" s="7">
        <v>1257111.38</v>
      </c>
      <c r="J32" s="1" t="str">
        <f t="shared" si="0"/>
        <v>21/05/2026</v>
      </c>
    </row>
    <row r="33" spans="1:10">
      <c r="A33" s="9">
        <v>32</v>
      </c>
      <c r="B33" s="13">
        <v>58144176</v>
      </c>
      <c r="C33" s="9" t="s">
        <v>85</v>
      </c>
      <c r="D33" s="10" t="s">
        <v>86</v>
      </c>
      <c r="E33" s="11"/>
      <c r="F33" s="12">
        <v>348590</v>
      </c>
      <c r="G33" s="12">
        <v>1605701.38</v>
      </c>
      <c r="J33" s="1" t="str">
        <f t="shared" si="0"/>
        <v>22/05/2026</v>
      </c>
    </row>
    <row r="34" spans="1:10">
      <c r="A34" s="3">
        <v>33</v>
      </c>
      <c r="B34" s="3" t="s">
        <v>87</v>
      </c>
      <c r="C34" s="3" t="s">
        <v>85</v>
      </c>
      <c r="D34" s="6" t="s">
        <v>88</v>
      </c>
      <c r="E34" s="7">
        <v>204</v>
      </c>
      <c r="F34" s="8"/>
      <c r="G34" s="7">
        <v>1605497.38</v>
      </c>
      <c r="J34" s="1" t="str">
        <f t="shared" si="0"/>
        <v>22/05/2026</v>
      </c>
    </row>
    <row r="35" spans="1:10">
      <c r="A35" s="9">
        <v>34</v>
      </c>
      <c r="B35" s="9" t="s">
        <v>89</v>
      </c>
      <c r="C35" s="9" t="s">
        <v>90</v>
      </c>
      <c r="D35" s="10" t="s">
        <v>91</v>
      </c>
      <c r="E35" s="12">
        <v>303.72</v>
      </c>
      <c r="F35" s="11"/>
      <c r="G35" s="12">
        <v>1605193.66</v>
      </c>
      <c r="J35" s="1" t="str">
        <f t="shared" si="0"/>
        <v>25/05/2026</v>
      </c>
    </row>
    <row r="36" spans="1:10">
      <c r="A36" s="3">
        <v>35</v>
      </c>
      <c r="B36" s="3" t="s">
        <v>92</v>
      </c>
      <c r="C36" s="3" t="s">
        <v>90</v>
      </c>
      <c r="D36" s="6" t="s">
        <v>93</v>
      </c>
      <c r="E36" s="7">
        <v>800000</v>
      </c>
      <c r="F36" s="8"/>
      <c r="G36" s="7">
        <v>805193.66</v>
      </c>
      <c r="J36" s="1" t="str">
        <f t="shared" si="0"/>
        <v>25/05/2026</v>
      </c>
    </row>
    <row r="37" spans="1:10">
      <c r="A37" s="9">
        <v>36</v>
      </c>
      <c r="B37" s="9" t="s">
        <v>94</v>
      </c>
      <c r="C37" s="9" t="s">
        <v>95</v>
      </c>
      <c r="D37" s="10" t="s">
        <v>96</v>
      </c>
      <c r="E37" s="11"/>
      <c r="F37" s="12">
        <v>414546</v>
      </c>
      <c r="G37" s="12">
        <v>1219739.66</v>
      </c>
      <c r="J37" s="1" t="str">
        <f t="shared" si="0"/>
        <v>26/05/2026</v>
      </c>
    </row>
    <row r="38" spans="1:10">
      <c r="A38" s="3">
        <v>37</v>
      </c>
      <c r="B38" s="3" t="s">
        <v>97</v>
      </c>
      <c r="C38" s="3" t="s">
        <v>95</v>
      </c>
      <c r="D38" s="6" t="s">
        <v>98</v>
      </c>
      <c r="E38" s="7">
        <v>263372</v>
      </c>
      <c r="F38" s="8"/>
      <c r="G38" s="7">
        <v>956367.66</v>
      </c>
      <c r="J38" s="1" t="str">
        <f t="shared" si="0"/>
        <v>26/05/2026</v>
      </c>
    </row>
    <row r="39" spans="1:10">
      <c r="A39" s="9">
        <v>38</v>
      </c>
      <c r="B39" s="9" t="s">
        <v>99</v>
      </c>
      <c r="C39" s="9" t="s">
        <v>95</v>
      </c>
      <c r="D39" s="10" t="s">
        <v>100</v>
      </c>
      <c r="E39" s="12">
        <v>917060</v>
      </c>
      <c r="F39" s="11"/>
      <c r="G39" s="12">
        <v>39307.66</v>
      </c>
      <c r="J39" s="1" t="str">
        <f t="shared" si="0"/>
        <v>26/05/2026</v>
      </c>
    </row>
    <row r="40" spans="1:10">
      <c r="A40" s="3">
        <v>39</v>
      </c>
      <c r="B40" s="3" t="s">
        <v>101</v>
      </c>
      <c r="C40" s="3" t="s">
        <v>95</v>
      </c>
      <c r="D40" s="6" t="s">
        <v>102</v>
      </c>
      <c r="E40" s="7">
        <v>4000</v>
      </c>
      <c r="F40" s="8"/>
      <c r="G40" s="7">
        <v>35307.66</v>
      </c>
      <c r="J40" s="1" t="str">
        <f t="shared" si="0"/>
        <v>26/05/2026</v>
      </c>
    </row>
    <row r="41" spans="1:10">
      <c r="A41" s="9">
        <v>40</v>
      </c>
      <c r="B41" s="9" t="s">
        <v>103</v>
      </c>
      <c r="C41" s="9" t="s">
        <v>104</v>
      </c>
      <c r="D41" s="10" t="s">
        <v>105</v>
      </c>
      <c r="E41" s="12">
        <v>32400</v>
      </c>
      <c r="F41" s="11"/>
      <c r="G41" s="12">
        <v>2907.66</v>
      </c>
      <c r="J41" s="1" t="str">
        <f t="shared" si="0"/>
        <v>27/05/2026</v>
      </c>
    </row>
    <row r="42" spans="1:10">
      <c r="A42" s="3">
        <v>41</v>
      </c>
      <c r="B42" s="3" t="s">
        <v>106</v>
      </c>
      <c r="C42" s="3" t="s">
        <v>104</v>
      </c>
      <c r="D42" s="6" t="s">
        <v>107</v>
      </c>
      <c r="E42" s="7">
        <v>35000</v>
      </c>
      <c r="F42" s="8"/>
      <c r="G42" s="7">
        <v>-32092.34</v>
      </c>
      <c r="J42" s="1" t="str">
        <f t="shared" si="0"/>
        <v>27/05/2026</v>
      </c>
    </row>
    <row r="43" spans="1:10">
      <c r="A43" s="9">
        <v>42</v>
      </c>
      <c r="B43" s="9" t="s">
        <v>108</v>
      </c>
      <c r="C43" s="9" t="s">
        <v>109</v>
      </c>
      <c r="D43" s="10" t="s">
        <v>110</v>
      </c>
      <c r="E43" s="11"/>
      <c r="F43" s="12">
        <v>343922</v>
      </c>
      <c r="G43" s="12">
        <v>311829.66</v>
      </c>
      <c r="J43" s="1" t="str">
        <f t="shared" si="0"/>
        <v>28/05/2026</v>
      </c>
    </row>
    <row r="44" spans="1:10">
      <c r="A44" s="3">
        <v>43</v>
      </c>
      <c r="B44" s="3" t="s">
        <v>111</v>
      </c>
      <c r="C44" s="3" t="s">
        <v>112</v>
      </c>
      <c r="D44" s="6" t="s">
        <v>113</v>
      </c>
      <c r="E44" s="8"/>
      <c r="F44" s="7">
        <v>500000</v>
      </c>
      <c r="G44" s="7">
        <v>811829.66</v>
      </c>
      <c r="J44" s="1" t="str">
        <f t="shared" si="0"/>
        <v>29/05/2026</v>
      </c>
    </row>
    <row r="45" spans="1:10">
      <c r="A45" s="9">
        <v>44</v>
      </c>
      <c r="B45" s="9" t="s">
        <v>114</v>
      </c>
      <c r="C45" s="9" t="s">
        <v>112</v>
      </c>
      <c r="D45" s="10" t="s">
        <v>115</v>
      </c>
      <c r="E45" s="12">
        <v>450000</v>
      </c>
      <c r="F45" s="11"/>
      <c r="G45" s="12">
        <v>361829.66</v>
      </c>
      <c r="J45" s="1" t="str">
        <f t="shared" si="0"/>
        <v>29/05/2026</v>
      </c>
    </row>
    <row r="46" spans="1:10">
      <c r="A46" s="3">
        <v>45</v>
      </c>
      <c r="B46" s="3" t="s">
        <v>116</v>
      </c>
      <c r="C46" s="3" t="s">
        <v>112</v>
      </c>
      <c r="D46" s="6" t="s">
        <v>117</v>
      </c>
      <c r="E46" s="7">
        <v>1000</v>
      </c>
      <c r="F46" s="8"/>
      <c r="G46" s="7">
        <v>360829.66</v>
      </c>
      <c r="J46" s="1" t="str">
        <f t="shared" si="0"/>
        <v>29/05/2026</v>
      </c>
    </row>
    <row r="47" spans="1:10">
      <c r="A47" s="9">
        <v>46</v>
      </c>
      <c r="B47" s="9" t="s">
        <v>118</v>
      </c>
      <c r="C47" s="9" t="s">
        <v>112</v>
      </c>
      <c r="D47" s="10" t="s">
        <v>119</v>
      </c>
      <c r="E47" s="12">
        <v>900000</v>
      </c>
      <c r="F47" s="11"/>
      <c r="G47" s="12">
        <v>-539170.34</v>
      </c>
      <c r="J47" s="1" t="str">
        <f t="shared" si="0"/>
        <v>29/05/2026</v>
      </c>
    </row>
    <row r="48" spans="1:10">
      <c r="A48" s="3">
        <v>47</v>
      </c>
      <c r="B48" s="3" t="s">
        <v>120</v>
      </c>
      <c r="C48" s="3" t="s">
        <v>121</v>
      </c>
      <c r="D48" s="6" t="s">
        <v>122</v>
      </c>
      <c r="E48" s="7">
        <v>3000</v>
      </c>
      <c r="F48" s="8"/>
      <c r="G48" s="7">
        <v>399729.66</v>
      </c>
      <c r="J48" s="1" t="str">
        <f t="shared" si="0"/>
        <v>30/05/2026</v>
      </c>
    </row>
    <row r="49" ht="15.75" spans="4:6">
      <c r="D49" s="14"/>
      <c r="E49" s="15"/>
      <c r="F49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2026-06-15T10:11:00Z</dcterms:created>
  <dcterms:modified xsi:type="dcterms:W3CDTF">2026-06-15T10:23:55Z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69D9ED0AAC154388AC7F1EF33B3BF6DC_12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