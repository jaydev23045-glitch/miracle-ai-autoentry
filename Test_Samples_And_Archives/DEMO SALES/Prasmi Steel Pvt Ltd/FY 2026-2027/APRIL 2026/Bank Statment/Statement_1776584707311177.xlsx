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6-2027/APRIL 2026/Bank Statment/"/>
    </mc:Choice>
  </mc:AlternateContent>
  <xr:revisionPtr revIDLastSave="23" documentId="11_8D5774981157366806A6F59AC557ADABDA991145" xr6:coauthVersionLast="47" xr6:coauthVersionMax="47" xr10:uidLastSave="{E7DD1657-9807-453C-9660-F8BFA861AA7C}"/>
  <bookViews>
    <workbookView xWindow="-120" yWindow="-120" windowWidth="24240" windowHeight="130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</calcChain>
</file>

<file path=xl/sharedStrings.xml><?xml version="1.0" encoding="utf-8"?>
<sst xmlns="http://schemas.openxmlformats.org/spreadsheetml/2006/main" count="130" uniqueCount="97">
  <si>
    <r>
      <rPr>
        <sz val="9"/>
        <color rgb="FF393939"/>
        <rFont val="Verdana"/>
        <family val="2"/>
      </rPr>
      <t>S.no</t>
    </r>
  </si>
  <si>
    <r>
      <rPr>
        <sz val="9"/>
        <color rgb="FF393939"/>
        <rFont val="Verdana"/>
        <family val="2"/>
      </rPr>
      <t>Transaction ID</t>
    </r>
  </si>
  <si>
    <r>
      <rPr>
        <sz val="9"/>
        <color rgb="FF393939"/>
        <rFont val="Verdana"/>
        <family val="2"/>
      </rPr>
      <t>Transaction date</t>
    </r>
  </si>
  <si>
    <r>
      <rPr>
        <sz val="9"/>
        <color rgb="FF393939"/>
        <rFont val="Verdana"/>
        <family val="2"/>
      </rPr>
      <t>Description</t>
    </r>
  </si>
  <si>
    <r>
      <rPr>
        <sz val="9"/>
        <color rgb="FF393939"/>
        <rFont val="Verdana"/>
        <family val="2"/>
      </rPr>
      <t>Withdrawal (Dr)</t>
    </r>
  </si>
  <si>
    <r>
      <rPr>
        <sz val="9"/>
        <color rgb="FF393939"/>
        <rFont val="Verdana"/>
        <family val="2"/>
      </rPr>
      <t>Deposit (Cr)</t>
    </r>
  </si>
  <si>
    <r>
      <rPr>
        <sz val="9"/>
        <color rgb="FF393939"/>
        <rFont val="Verdana"/>
        <family val="2"/>
      </rPr>
      <t>Available Balance</t>
    </r>
  </si>
  <si>
    <r>
      <rPr>
        <sz val="8"/>
        <color rgb="FF393939"/>
        <rFont val="Verdana"/>
        <family val="2"/>
      </rPr>
      <t>S1676446</t>
    </r>
  </si>
  <si>
    <r>
      <rPr>
        <sz val="8"/>
        <color rgb="FF393939"/>
        <rFont val="Verdana"/>
        <family val="2"/>
      </rPr>
      <t xml:space="preserve">02-Apr-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</si>
  <si>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>UPI/109504 684110/Die sel3323/pay tm.s16u4oj @p//ICI44</t>
    </r>
  </si>
  <si>
    <r>
      <rPr>
        <sz val="8"/>
        <color rgb="FF393939"/>
        <rFont val="Verdana"/>
        <family val="2"/>
      </rPr>
      <t>S1720815</t>
    </r>
  </si>
  <si>
    <r>
      <rPr>
        <sz val="8"/>
        <color rgb="FF393939"/>
        <rFont val="Verdana"/>
        <family val="2"/>
      </rPr>
      <t xml:space="preserve">UPI/109504
</t>
    </r>
    <r>
      <rPr>
        <sz val="8"/>
        <color rgb="FF393939"/>
        <rFont val="Verdana"/>
        <family val="2"/>
      </rPr>
      <t>882704/Elec tricMaintai/j ayeshviradiy a7//</t>
    </r>
  </si>
  <si>
    <r>
      <rPr>
        <sz val="8"/>
        <color rgb="FF393939"/>
        <rFont val="Verdana"/>
        <family val="2"/>
      </rPr>
      <t>S1809565</t>
    </r>
  </si>
  <si>
    <r>
      <rPr>
        <sz val="8"/>
        <color rgb="FF393939"/>
        <rFont val="Verdana"/>
        <family val="2"/>
      </rPr>
      <t xml:space="preserve">RTGS/ICICR 420260402
</t>
    </r>
    <r>
      <rPr>
        <sz val="8"/>
        <color rgb="FF393939"/>
        <rFont val="Verdana"/>
        <family val="2"/>
      </rPr>
      <t>00529282/K KBK000083 1/JK IMPEX</t>
    </r>
  </si>
  <si>
    <r>
      <rPr>
        <sz val="8"/>
        <color rgb="FF393939"/>
        <rFont val="Verdana"/>
        <family val="2"/>
      </rPr>
      <t>M351648</t>
    </r>
  </si>
  <si>
    <r>
      <rPr>
        <sz val="8"/>
        <color rgb="FF393939"/>
        <rFont val="Verdana"/>
        <family val="2"/>
      </rPr>
      <t xml:space="preserve">CASH
</t>
    </r>
    <r>
      <rPr>
        <sz val="8"/>
        <color rgb="FF393939"/>
        <rFont val="Verdana"/>
        <family val="2"/>
      </rPr>
      <t xml:space="preserve">PAID:Self 0728
</t>
    </r>
    <r>
      <rPr>
        <sz val="8"/>
        <color rgb="FF393939"/>
        <rFont val="Verdana"/>
        <family val="2"/>
      </rPr>
      <t>RAJKOT 1</t>
    </r>
  </si>
  <si>
    <r>
      <rPr>
        <sz val="8"/>
        <color rgb="FF393939"/>
        <rFont val="Verdana"/>
        <family val="2"/>
      </rPr>
      <t>S2425252</t>
    </r>
  </si>
  <si>
    <r>
      <rPr>
        <sz val="8"/>
        <color rgb="FF393939"/>
        <rFont val="Verdana"/>
        <family val="2"/>
      </rPr>
      <t xml:space="preserve">072813013
</t>
    </r>
    <r>
      <rPr>
        <sz val="8"/>
        <color rgb="FF393939"/>
        <rFont val="Verdana"/>
        <family val="2"/>
      </rPr>
      <t xml:space="preserve">025: Rev
</t>
    </r>
    <r>
      <rPr>
        <sz val="8"/>
        <color rgb="FF393939"/>
        <rFont val="Verdana"/>
        <family val="2"/>
      </rPr>
      <t>Sweep From</t>
    </r>
  </si>
  <si>
    <r>
      <rPr>
        <sz val="8"/>
        <color rgb="FF393939"/>
        <rFont val="Verdana"/>
        <family val="2"/>
      </rPr>
      <t>S2425751</t>
    </r>
  </si>
  <si>
    <r>
      <rPr>
        <sz val="8"/>
        <color rgb="FF393939"/>
        <rFont val="Verdana"/>
        <family val="2"/>
      </rPr>
      <t xml:space="preserve">072813013
</t>
    </r>
    <r>
      <rPr>
        <sz val="8"/>
        <color rgb="FF393939"/>
        <rFont val="Verdana"/>
        <family val="2"/>
      </rPr>
      <t>025: Closure Proceeds</t>
    </r>
  </si>
  <si>
    <r>
      <rPr>
        <sz val="8"/>
        <color rgb="FF393939"/>
        <rFont val="Verdana"/>
        <family val="2"/>
      </rPr>
      <t>S3749502</t>
    </r>
  </si>
  <si>
    <r>
      <rPr>
        <sz val="8"/>
        <color rgb="FF393939"/>
        <rFont val="Verdana"/>
        <family val="2"/>
      </rPr>
      <t xml:space="preserve">04-Apr-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</si>
  <si>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RTGS- BKIDR5202 604040083
</t>
    </r>
    <r>
      <rPr>
        <sz val="8"/>
        <color rgb="FF393939"/>
        <rFont val="Verdana"/>
        <family val="2"/>
      </rPr>
      <t>3744- ASIAN CASTING- 31042011</t>
    </r>
  </si>
  <si>
    <r>
      <rPr>
        <sz val="8"/>
        <color rgb="FF393939"/>
        <rFont val="Verdana"/>
        <family val="2"/>
      </rPr>
      <t>S4830103</t>
    </r>
  </si>
  <si>
    <r>
      <rPr>
        <sz val="8"/>
        <color rgb="FF393939"/>
        <rFont val="Verdana"/>
        <family val="2"/>
      </rPr>
      <t xml:space="preserve">05-Apr-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</si>
  <si>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RTGS- UTIBR6202 604056836
</t>
    </r>
    <r>
      <rPr>
        <sz val="8"/>
        <color rgb="FF393939"/>
        <rFont val="Verdana"/>
        <family val="2"/>
      </rPr>
      <t>3781- KIASON METAL CAST PRIV</t>
    </r>
  </si>
  <si>
    <r>
      <rPr>
        <sz val="8"/>
        <color rgb="FF393939"/>
        <rFont val="Verdana"/>
        <family val="2"/>
      </rPr>
      <t>S4977825</t>
    </r>
  </si>
  <si>
    <r>
      <rPr>
        <sz val="8"/>
        <color rgb="FF393939"/>
        <rFont val="Verdana"/>
        <family val="2"/>
      </rPr>
      <t xml:space="preserve">INF/INFT/04 395478715
</t>
    </r>
    <r>
      <rPr>
        <sz val="8"/>
        <color rgb="FF393939"/>
        <rFont val="Verdana"/>
        <family val="2"/>
      </rPr>
      <t xml:space="preserve">1/PurchaseR JT001
</t>
    </r>
    <r>
      <rPr>
        <sz val="8"/>
        <color rgb="FF393939"/>
        <rFont val="Verdana"/>
        <family val="2"/>
      </rPr>
      <t>/SPoddarInt er</t>
    </r>
  </si>
  <si>
    <r>
      <rPr>
        <sz val="8"/>
        <color rgb="FF393939"/>
        <rFont val="Verdana"/>
        <family val="2"/>
      </rPr>
      <t>S5706281</t>
    </r>
  </si>
  <si>
    <r>
      <rPr>
        <sz val="8"/>
        <color rgb="FF393939"/>
        <rFont val="Verdana"/>
        <family val="2"/>
      </rPr>
      <t xml:space="preserve">06-Apr-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</si>
  <si>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UPI/109537 177756/Wei ghtbridgeCh a/93758228
</t>
    </r>
    <r>
      <rPr>
        <sz val="8"/>
        <color rgb="FF393939"/>
        <rFont val="Verdana"/>
        <family val="2"/>
      </rPr>
      <t>22@kota//</t>
    </r>
  </si>
  <si>
    <r>
      <rPr>
        <sz val="8"/>
        <color rgb="FF393939"/>
        <rFont val="Verdana"/>
        <family val="2"/>
      </rPr>
      <t>S5767758</t>
    </r>
  </si>
  <si>
    <r>
      <rPr>
        <sz val="8"/>
        <color rgb="FF393939"/>
        <rFont val="Verdana"/>
        <family val="2"/>
      </rPr>
      <t xml:space="preserve">RTGS/ICICR 420260406
</t>
    </r>
    <r>
      <rPr>
        <sz val="8"/>
        <color rgb="FF393939"/>
        <rFont val="Verdana"/>
        <family val="2"/>
      </rPr>
      <t>00510538/K KBK000083 1/JK IMPEX</t>
    </r>
  </si>
  <si>
    <r>
      <rPr>
        <sz val="8"/>
        <color rgb="FF393939"/>
        <rFont val="Verdana"/>
        <family val="2"/>
      </rPr>
      <t>S5773680</t>
    </r>
  </si>
  <si>
    <r>
      <rPr>
        <sz val="8"/>
        <color rgb="FF393939"/>
        <rFont val="Verdana"/>
        <family val="2"/>
      </rPr>
      <t xml:space="preserve">RTGS/ICICR 420260406
</t>
    </r>
    <r>
      <rPr>
        <sz val="8"/>
        <color rgb="FF393939"/>
        <rFont val="Verdana"/>
        <family val="2"/>
      </rPr>
      <t>00511307/K KBK000083 1/JK IMPEX</t>
    </r>
  </si>
  <si>
    <r>
      <rPr>
        <sz val="8"/>
        <color rgb="FF393939"/>
        <rFont val="Verdana"/>
        <family val="2"/>
      </rPr>
      <t>S6477451</t>
    </r>
  </si>
  <si>
    <r>
      <rPr>
        <sz val="8"/>
        <color rgb="FF393939"/>
        <rFont val="Verdana"/>
        <family val="2"/>
      </rPr>
      <t>S6477872</t>
    </r>
  </si>
  <si>
    <r>
      <rPr>
        <sz val="8"/>
        <color rgb="FF393939"/>
        <rFont val="Verdana"/>
        <family val="2"/>
      </rPr>
      <t>S6552803</t>
    </r>
  </si>
  <si>
    <r>
      <rPr>
        <sz val="8"/>
        <color rgb="FF393939"/>
        <rFont val="Verdana"/>
        <family val="2"/>
      </rPr>
      <t xml:space="preserve">07-Apr-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</si>
  <si>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MMT/IMPS/6 097007200
</t>
    </r>
    <r>
      <rPr>
        <sz val="8"/>
        <color rgb="FF393939"/>
        <rFont val="Verdana"/>
        <family val="2"/>
      </rPr>
      <t>93/4contain ersPurc/JKim pexKev/K</t>
    </r>
  </si>
  <si>
    <r>
      <rPr>
        <sz val="8"/>
        <color rgb="FF393939"/>
        <rFont val="Verdana"/>
        <family val="2"/>
      </rPr>
      <t>M3732</t>
    </r>
  </si>
  <si>
    <r>
      <rPr>
        <sz val="8"/>
        <color rgb="FF393939"/>
        <rFont val="Verdana"/>
        <family val="2"/>
      </rPr>
      <t>S6640771</t>
    </r>
  </si>
  <si>
    <r>
      <rPr>
        <sz val="8"/>
        <color rgb="FF393939"/>
        <rFont val="Verdana"/>
        <family val="2"/>
      </rPr>
      <t>S6906057</t>
    </r>
  </si>
  <si>
    <r>
      <rPr>
        <sz val="8"/>
        <color rgb="FF393939"/>
        <rFont val="Verdana"/>
        <family val="2"/>
      </rPr>
      <t xml:space="preserve">MMT/IMPS/6 097090683
</t>
    </r>
    <r>
      <rPr>
        <sz val="8"/>
        <color rgb="FF393939"/>
        <rFont val="Verdana"/>
        <family val="2"/>
      </rPr>
      <t xml:space="preserve">38/JYJ30252
</t>
    </r>
    <r>
      <rPr>
        <sz val="8"/>
        <color rgb="FF393939"/>
        <rFont val="Verdana"/>
        <family val="2"/>
      </rPr>
      <t>6/JYJandCo/ KKBK00028</t>
    </r>
  </si>
  <si>
    <r>
      <rPr>
        <sz val="8"/>
        <color rgb="FF393939"/>
        <rFont val="Verdana"/>
        <family val="2"/>
      </rPr>
      <t>S6911374</t>
    </r>
  </si>
  <si>
    <r>
      <rPr>
        <sz val="8"/>
        <color rgb="FF393939"/>
        <rFont val="Verdana"/>
        <family val="2"/>
      </rPr>
      <t xml:space="preserve">MMT/IMPS/6 097090866
</t>
    </r>
    <r>
      <rPr>
        <sz val="8"/>
        <color rgb="FF393939"/>
        <rFont val="Verdana"/>
        <family val="2"/>
      </rPr>
      <t>50/Purchase Advance/NK IMPEX/HDF C</t>
    </r>
  </si>
  <si>
    <r>
      <rPr>
        <sz val="8"/>
        <color rgb="FF393939"/>
        <rFont val="Verdana"/>
        <family val="2"/>
      </rPr>
      <t>S6992553</t>
    </r>
  </si>
  <si>
    <r>
      <rPr>
        <sz val="8"/>
        <color rgb="FF393939"/>
        <rFont val="Verdana"/>
        <family val="2"/>
      </rPr>
      <t>NEFT- CBINH2609 7259222- PRUSHTI TECHNOCA ST- ATTNPRAS M</t>
    </r>
  </si>
  <si>
    <r>
      <rPr>
        <sz val="8"/>
        <color rgb="FF393939"/>
        <rFont val="Verdana"/>
        <family val="2"/>
      </rPr>
      <t>S7242132</t>
    </r>
  </si>
  <si>
    <r>
      <rPr>
        <sz val="8"/>
        <color rgb="FF393939"/>
        <rFont val="Verdana"/>
        <family val="2"/>
      </rPr>
      <t>NEFT- CBINH2609 7302705- REVOLVING TECHNO CAST- ATTNBR</t>
    </r>
  </si>
  <si>
    <r>
      <rPr>
        <sz val="8"/>
        <color rgb="FF393939"/>
        <rFont val="Verdana"/>
        <family val="2"/>
      </rPr>
      <t>S7572901</t>
    </r>
  </si>
  <si>
    <r>
      <rPr>
        <sz val="8"/>
        <color rgb="FF393939"/>
        <rFont val="Verdana"/>
        <family val="2"/>
      </rPr>
      <t xml:space="preserve">MMT/IMPS/6 097195179
</t>
    </r>
    <r>
      <rPr>
        <sz val="8"/>
        <color rgb="FF393939"/>
        <rFont val="Verdana"/>
        <family val="2"/>
      </rPr>
      <t>77/4contain ersUnlo/Hira lalPos/I</t>
    </r>
  </si>
  <si>
    <r>
      <rPr>
        <sz val="8"/>
        <color rgb="FF393939"/>
        <rFont val="Verdana"/>
        <family val="2"/>
      </rPr>
      <t>S7773357</t>
    </r>
  </si>
  <si>
    <r>
      <rPr>
        <sz val="8"/>
        <color rgb="FF393939"/>
        <rFont val="Verdana"/>
        <family val="2"/>
      </rPr>
      <t xml:space="preserve">MMT/IMPS/6 097230050
</t>
    </r>
    <r>
      <rPr>
        <sz val="8"/>
        <color rgb="FF393939"/>
        <rFont val="Verdana"/>
        <family val="2"/>
      </rPr>
      <t>27/Remuner ationMar/Ha rshilDAD/H</t>
    </r>
  </si>
  <si>
    <r>
      <rPr>
        <sz val="8"/>
        <color rgb="FF393939"/>
        <rFont val="Verdana"/>
        <family val="2"/>
      </rPr>
      <t>S8196514</t>
    </r>
  </si>
  <si>
    <r>
      <rPr>
        <sz val="8"/>
        <color rgb="FF393939"/>
        <rFont val="Verdana"/>
        <family val="2"/>
      </rPr>
      <t xml:space="preserve">08-Apr-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</si>
  <si>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RTGS- TCBRR5202 604080009
</t>
    </r>
    <r>
      <rPr>
        <sz val="8"/>
        <color rgb="FF393939"/>
        <rFont val="Verdana"/>
        <family val="2"/>
      </rPr>
      <t>3590-TULSI FERROCAS T-000315</t>
    </r>
  </si>
  <si>
    <r>
      <rPr>
        <sz val="8"/>
        <color rgb="FF393939"/>
        <rFont val="Verdana"/>
        <family val="2"/>
      </rPr>
      <t>S8208445</t>
    </r>
  </si>
  <si>
    <r>
      <rPr>
        <sz val="8"/>
        <color rgb="FF393939"/>
        <rFont val="Verdana"/>
        <family val="2"/>
      </rPr>
      <t xml:space="preserve">MMT/IMPS/6 098129050
</t>
    </r>
    <r>
      <rPr>
        <sz val="8"/>
        <color rgb="FF393939"/>
        <rFont val="Verdana"/>
        <family val="2"/>
      </rPr>
      <t>44/Remuner ation/Harshi lSBI/SBIN</t>
    </r>
  </si>
  <si>
    <r>
      <rPr>
        <sz val="8"/>
        <color rgb="FF393939"/>
        <rFont val="Verdana"/>
        <family val="2"/>
      </rPr>
      <t>S8484748</t>
    </r>
  </si>
  <si>
    <r>
      <rPr>
        <sz val="8"/>
        <color rgb="FF393939"/>
        <rFont val="Verdana"/>
        <family val="2"/>
      </rPr>
      <t xml:space="preserve">MMT/IMPS/6 098175465
</t>
    </r>
    <r>
      <rPr>
        <sz val="8"/>
        <color rgb="FF393939"/>
        <rFont val="Verdana"/>
        <family val="2"/>
      </rPr>
      <t>51/Commiss ionPSPL0/G aneshSpar/ B</t>
    </r>
  </si>
  <si>
    <r>
      <rPr>
        <sz val="8"/>
        <color rgb="FF393939"/>
        <rFont val="Verdana"/>
        <family val="2"/>
      </rPr>
      <t>S9118336</t>
    </r>
  </si>
  <si>
    <r>
      <rPr>
        <sz val="8"/>
        <color rgb="FF393939"/>
        <rFont val="Verdana"/>
        <family val="2"/>
      </rPr>
      <t xml:space="preserve">09-Apr-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</si>
  <si>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RTGS- KKBKR5202 604090070
</t>
    </r>
    <r>
      <rPr>
        <sz val="8"/>
        <color rgb="FF393939"/>
        <rFont val="Verdana"/>
        <family val="2"/>
      </rPr>
      <t xml:space="preserve">4690- KRUPA METAL- 791289955
</t>
    </r>
    <r>
      <rPr>
        <sz val="8"/>
        <color rgb="FF393939"/>
        <rFont val="Verdana"/>
        <family val="2"/>
      </rPr>
      <t>5</t>
    </r>
  </si>
  <si>
    <r>
      <rPr>
        <sz val="8"/>
        <color rgb="FF393939"/>
        <rFont val="Verdana"/>
        <family val="2"/>
      </rPr>
      <t>S9385528</t>
    </r>
  </si>
  <si>
    <r>
      <rPr>
        <sz val="8"/>
        <color rgb="FF393939"/>
        <rFont val="Verdana"/>
        <family val="2"/>
      </rPr>
      <t>Mob alrt chg Jan-26+GST</t>
    </r>
  </si>
  <si>
    <r>
      <rPr>
        <sz val="8"/>
        <color rgb="FF393939"/>
        <rFont val="Verdana"/>
        <family val="2"/>
      </rPr>
      <t>S356108</t>
    </r>
  </si>
  <si>
    <r>
      <rPr>
        <sz val="8"/>
        <color rgb="FF393939"/>
        <rFont val="Verdana"/>
        <family val="2"/>
      </rPr>
      <t xml:space="preserve">10-Apr-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</si>
  <si>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MMT/IMPS/6 100111439
</t>
    </r>
    <r>
      <rPr>
        <sz val="8"/>
        <color rgb="FF393939"/>
        <rFont val="Verdana"/>
        <family val="2"/>
      </rPr>
      <t>23/TractorTr anspor/SAN JYTRACT/K</t>
    </r>
  </si>
  <si>
    <r>
      <rPr>
        <sz val="8"/>
        <color rgb="FF393939"/>
        <rFont val="Verdana"/>
        <family val="2"/>
      </rPr>
      <t>S1481380</t>
    </r>
  </si>
  <si>
    <r>
      <rPr>
        <sz val="8"/>
        <color rgb="FF393939"/>
        <rFont val="Verdana"/>
        <family val="2"/>
      </rPr>
      <t xml:space="preserve">11-Apr-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</si>
  <si>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MMT/IMPS/6 101166674
</t>
    </r>
    <r>
      <rPr>
        <sz val="8"/>
        <color rgb="FF393939"/>
        <rFont val="Verdana"/>
        <family val="2"/>
      </rPr>
      <t>90/SalaryM arch26/kesh avlabo/IDI</t>
    </r>
  </si>
  <si>
    <r>
      <rPr>
        <sz val="8"/>
        <color rgb="FF393939"/>
        <rFont val="Verdana"/>
        <family val="2"/>
      </rPr>
      <t>S1481781</t>
    </r>
  </si>
  <si>
    <r>
      <rPr>
        <sz val="8"/>
        <color rgb="FF393939"/>
        <rFont val="Verdana"/>
        <family val="2"/>
      </rPr>
      <t xml:space="preserve">MMT/IMPS/6 101166681
</t>
    </r>
    <r>
      <rPr>
        <sz val="8"/>
        <color rgb="FF393939"/>
        <rFont val="Verdana"/>
        <family val="2"/>
      </rPr>
      <t>81/SalaryM arch26/Mith aiLoth/IDI</t>
    </r>
  </si>
  <si>
    <r>
      <rPr>
        <sz val="8"/>
        <color rgb="FF393939"/>
        <rFont val="Verdana"/>
        <family val="2"/>
      </rPr>
      <t>S1482102</t>
    </r>
  </si>
  <si>
    <r>
      <rPr>
        <sz val="8"/>
        <color rgb="FF393939"/>
        <rFont val="Verdana"/>
        <family val="2"/>
      </rPr>
      <t xml:space="preserve">MMT/IMPS/6 101166699
</t>
    </r>
    <r>
      <rPr>
        <sz val="8"/>
        <color rgb="FF393939"/>
        <rFont val="Verdana"/>
        <family val="2"/>
      </rPr>
      <t>50/SalaryM arch26/Hiral alPos/IPO</t>
    </r>
  </si>
  <si>
    <r>
      <rPr>
        <sz val="8"/>
        <color rgb="FF393939"/>
        <rFont val="Verdana"/>
        <family val="2"/>
      </rPr>
      <t>S1482551</t>
    </r>
  </si>
  <si>
    <r>
      <rPr>
        <sz val="8"/>
        <color rgb="FF393939"/>
        <rFont val="Verdana"/>
        <family val="2"/>
      </rPr>
      <t xml:space="preserve">MMT/IMPS/6 101166707
</t>
    </r>
    <r>
      <rPr>
        <sz val="8"/>
        <color rgb="FF393939"/>
        <rFont val="Verdana"/>
        <family val="2"/>
      </rPr>
      <t>92/SalaryM arch26/Sonu Lothda/IDI</t>
    </r>
  </si>
  <si>
    <r>
      <rPr>
        <sz val="8"/>
        <color rgb="FF393939"/>
        <rFont val="Verdana"/>
        <family val="2"/>
      </rPr>
      <t>S2547674</t>
    </r>
  </si>
  <si>
    <r>
      <rPr>
        <sz val="8"/>
        <color rgb="FF393939"/>
        <rFont val="Verdana"/>
        <family val="2"/>
      </rPr>
      <t xml:space="preserve">13-Apr-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</si>
  <si>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MMT/IMPS/6 103112164
</t>
    </r>
    <r>
      <rPr>
        <sz val="8"/>
        <color rgb="FF393939"/>
        <rFont val="Verdana"/>
        <family val="2"/>
      </rPr>
      <t>26/Purchase Advance/DE EPJYOTEN/ H</t>
    </r>
  </si>
  <si>
    <r>
      <rPr>
        <sz val="8"/>
        <color rgb="FF393939"/>
        <rFont val="Verdana"/>
        <family val="2"/>
      </rPr>
      <t>S2736896</t>
    </r>
  </si>
  <si>
    <r>
      <rPr>
        <sz val="8"/>
        <color rgb="FF393939"/>
        <rFont val="Verdana"/>
        <family val="2"/>
      </rPr>
      <t xml:space="preserve">RTGS- KKBKR5202 604130070
</t>
    </r>
    <r>
      <rPr>
        <sz val="8"/>
        <color rgb="FF393939"/>
        <rFont val="Verdana"/>
        <family val="2"/>
      </rPr>
      <t xml:space="preserve">1726- KRUPA METAL- 791289955
</t>
    </r>
    <r>
      <rPr>
        <sz val="8"/>
        <color rgb="FF393939"/>
        <rFont val="Verdana"/>
        <family val="2"/>
      </rPr>
      <t>5</t>
    </r>
  </si>
  <si>
    <r>
      <rPr>
        <sz val="8"/>
        <color rgb="FF393939"/>
        <rFont val="Verdana"/>
        <family val="2"/>
      </rPr>
      <t>S2793782</t>
    </r>
  </si>
  <si>
    <r>
      <rPr>
        <sz val="8"/>
        <color rgb="FF393939"/>
        <rFont val="Verdana"/>
        <family val="2"/>
      </rPr>
      <t xml:space="preserve">MMT/IMPS/6 103158449
</t>
    </r>
    <r>
      <rPr>
        <sz val="8"/>
        <color rgb="FF393939"/>
        <rFont val="Verdana"/>
        <family val="2"/>
      </rPr>
      <t>75/Purchase Advance/DE EPJYOTEN/ H</t>
    </r>
  </si>
  <si>
    <r>
      <rPr>
        <sz val="8"/>
        <color rgb="FF393939"/>
        <rFont val="Verdana"/>
        <family val="2"/>
      </rPr>
      <t>S3440941</t>
    </r>
  </si>
  <si>
    <r>
      <rPr>
        <sz val="8"/>
        <color rgb="FF393939"/>
        <rFont val="Verdana"/>
        <family val="2"/>
      </rPr>
      <t xml:space="preserve">14-Apr-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</si>
  <si>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INF/INFT/04 407377750
</t>
    </r>
    <r>
      <rPr>
        <sz val="8"/>
        <color rgb="FF393939"/>
        <rFont val="Verdana"/>
        <family val="2"/>
      </rPr>
      <t xml:space="preserve">1/PurchaseR JT009
</t>
    </r>
    <r>
      <rPr>
        <sz val="8"/>
        <color rgb="FF393939"/>
        <rFont val="Verdana"/>
        <family val="2"/>
      </rPr>
      <t>/SPoddarInt er</t>
    </r>
  </si>
  <si>
    <r>
      <rPr>
        <sz val="8"/>
        <color rgb="FF393939"/>
        <rFont val="Verdana"/>
        <family val="2"/>
      </rPr>
      <t>S3592064</t>
    </r>
  </si>
  <si>
    <r>
      <rPr>
        <sz val="8"/>
        <color rgb="FF393939"/>
        <rFont val="Verdana"/>
        <family val="2"/>
      </rPr>
      <t xml:space="preserve">MMT/IMPS/6 104133098
</t>
    </r>
    <r>
      <rPr>
        <sz val="8"/>
        <color rgb="FF393939"/>
        <rFont val="Verdana"/>
        <family val="2"/>
      </rPr>
      <t>61/Advance April26/PIN TULOTHA/I D</t>
    </r>
  </si>
  <si>
    <r>
      <rPr>
        <sz val="8"/>
        <color rgb="FF393939"/>
        <rFont val="Verdana"/>
        <family val="2"/>
      </rPr>
      <t>S3823377</t>
    </r>
  </si>
  <si>
    <r>
      <rPr>
        <sz val="8"/>
        <color rgb="FF393939"/>
        <rFont val="Verdana"/>
        <family val="2"/>
      </rPr>
      <t xml:space="preserve">UPI/109602 534021/Tra ctorTranspo r/77790069
</t>
    </r>
    <r>
      <rPr>
        <sz val="8"/>
        <color rgb="FF393939"/>
        <rFont val="Verdana"/>
        <family val="2"/>
      </rPr>
      <t>37@ibl//I</t>
    </r>
  </si>
  <si>
    <r>
      <rPr>
        <sz val="8"/>
        <color rgb="FF393939"/>
        <rFont val="Verdana"/>
        <family val="2"/>
      </rPr>
      <t>S7141112</t>
    </r>
  </si>
  <si>
    <r>
      <rPr>
        <sz val="8"/>
        <color rgb="FF393939"/>
        <rFont val="Verdana"/>
        <family val="2"/>
      </rPr>
      <t xml:space="preserve">18-Apr-
</t>
    </r>
    <r>
      <rPr>
        <sz val="8"/>
        <color rgb="FF393939"/>
        <rFont val="Verdana"/>
        <family val="2"/>
      </rPr>
      <t>2026</t>
    </r>
  </si>
  <si>
    <r>
      <rPr>
        <sz val="8"/>
        <color rgb="FF393939"/>
        <rFont val="Verdana"/>
        <family val="2"/>
      </rPr>
      <t xml:space="preserve">INF/INFT/04 411978018
</t>
    </r>
    <r>
      <rPr>
        <sz val="8"/>
        <color rgb="FF393939"/>
        <rFont val="Verdana"/>
        <family val="2"/>
      </rPr>
      <t xml:space="preserve">1/PurchaseR JT13
</t>
    </r>
    <r>
      <rPr>
        <sz val="8"/>
        <color rgb="FF393939"/>
        <rFont val="Verdana"/>
        <family val="2"/>
      </rPr>
      <t>/SPoddarInt er</t>
    </r>
  </si>
  <si>
    <r>
      <rPr>
        <sz val="8"/>
        <color rgb="FF393939"/>
        <rFont val="Verdana"/>
        <family val="2"/>
      </rPr>
      <t>S7510241</t>
    </r>
  </si>
  <si>
    <r>
      <rPr>
        <sz val="8"/>
        <color rgb="FF393939"/>
        <rFont val="Verdana"/>
        <family val="2"/>
      </rPr>
      <t>NEFT- AXISP0078 9575915- SHREE RAJ CASTECH PRIVATE 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</si>
</sst>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Verdana"/>
    </font>
    <font>
      <sz val="8"/>
      <color rgb="FF393939"/>
      <name val="Verdana"/>
      <family val="2"/>
    </font>
    <font>
      <sz val="8"/>
      <name val="Verdana"/>
    </font>
    <font>
      <sz val="9"/>
      <color rgb="FF39393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left" vertical="top" indent="1" shrinkToFit="1"/>
    </xf>
    <xf numFmtId="1" fontId="2" fillId="3" borderId="1" xfId="0" applyNumberFormat="1" applyFont="1" applyFill="1" applyBorder="1" applyAlignment="1">
      <alignment horizontal="left" vertical="top" indent="1" shrinkToFit="1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left" vertical="top" indent="1" shrinkToFit="1"/>
    </xf>
    <xf numFmtId="0" fontId="3" fillId="3" borderId="1" xfId="0" applyFont="1" applyFill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2" fontId="2" fillId="3" borderId="1" xfId="0" applyNumberFormat="1" applyFont="1" applyFill="1" applyBorder="1" applyAlignment="1">
      <alignment horizontal="center" vertical="top" shrinkToFit="1"/>
    </xf>
    <xf numFmtId="1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508000</xdr:colOff>
      <xdr:row>6</xdr:row>
      <xdr:rowOff>0</xdr:rowOff>
    </xdr:from>
    <xdr:ext cx="654050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40500" cy="0"/>
        </a:xfrm>
        <a:custGeom>
          <a:avLst/>
          <a:gdLst/>
          <a:ahLst/>
          <a:cxnLst/>
          <a:rect l="0" t="0" r="0" b="0"/>
          <a:pathLst>
            <a:path w="6540500">
              <a:moveTo>
                <a:pt x="0" y="0"/>
              </a:moveTo>
              <a:lnTo>
                <a:pt x="6540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508000</xdr:colOff>
      <xdr:row>42</xdr:row>
      <xdr:rowOff>3172</xdr:rowOff>
    </xdr:from>
    <xdr:ext cx="6540500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40500" cy="0"/>
        </a:xfrm>
        <a:custGeom>
          <a:avLst/>
          <a:gdLst/>
          <a:ahLst/>
          <a:cxnLst/>
          <a:rect l="0" t="0" r="0" b="0"/>
          <a:pathLst>
            <a:path w="6540500">
              <a:moveTo>
                <a:pt x="0" y="0"/>
              </a:moveTo>
              <a:lnTo>
                <a:pt x="6540500" y="0"/>
              </a:lnTo>
            </a:path>
          </a:pathLst>
        </a:custGeom>
        <a:ln w="6350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508000</xdr:colOff>
      <xdr:row>43</xdr:row>
      <xdr:rowOff>3172</xdr:rowOff>
    </xdr:from>
    <xdr:ext cx="6540500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40500" cy="0"/>
        </a:xfrm>
        <a:custGeom>
          <a:avLst/>
          <a:gdLst/>
          <a:ahLst/>
          <a:cxnLst/>
          <a:rect l="0" t="0" r="0" b="0"/>
          <a:pathLst>
            <a:path w="6540500">
              <a:moveTo>
                <a:pt x="0" y="0"/>
              </a:moveTo>
              <a:lnTo>
                <a:pt x="6540500" y="0"/>
              </a:lnTo>
            </a:path>
          </a:pathLst>
        </a:custGeom>
        <a:ln w="6350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O4" sqref="O4"/>
    </sheetView>
  </sheetViews>
  <sheetFormatPr defaultRowHeight="12.75" x14ac:dyDescent="0.2"/>
  <cols>
    <col min="1" max="1" width="8.83203125" bestFit="1" customWidth="1"/>
    <col min="2" max="3" width="15" bestFit="1" customWidth="1"/>
    <col min="4" max="4" width="62.33203125" style="22" bestFit="1" customWidth="1"/>
    <col min="5" max="5" width="14.83203125" bestFit="1" customWidth="1"/>
    <col min="6" max="6" width="14" bestFit="1" customWidth="1"/>
    <col min="7" max="7" width="14.83203125" bestFit="1" customWidth="1"/>
    <col min="8" max="8" width="4" customWidth="1"/>
    <col min="10" max="10" width="13.83203125" style="17" bestFit="1" customWidth="1"/>
    <col min="12" max="12" width="15.83203125" customWidth="1"/>
  </cols>
  <sheetData>
    <row r="1" spans="1:12" ht="22.5" x14ac:dyDescent="0.2">
      <c r="A1" s="1" t="s">
        <v>0</v>
      </c>
      <c r="B1" s="2" t="s">
        <v>1</v>
      </c>
      <c r="C1" s="2" t="s">
        <v>2</v>
      </c>
      <c r="D1" s="18" t="s">
        <v>3</v>
      </c>
      <c r="E1" s="2" t="s">
        <v>4</v>
      </c>
      <c r="F1" s="1" t="s">
        <v>5</v>
      </c>
      <c r="G1" s="1" t="s">
        <v>6</v>
      </c>
    </row>
    <row r="2" spans="1:12" ht="21" x14ac:dyDescent="0.2">
      <c r="A2" s="3">
        <v>1</v>
      </c>
      <c r="B2" s="4" t="s">
        <v>7</v>
      </c>
      <c r="C2" s="5" t="s">
        <v>8</v>
      </c>
      <c r="D2" s="19" t="s">
        <v>9</v>
      </c>
      <c r="E2" s="8">
        <v>4600</v>
      </c>
      <c r="F2" s="6"/>
      <c r="G2" s="8">
        <v>450276</v>
      </c>
      <c r="J2" s="17" t="str">
        <f>TEXT(C2, "dd/mm/yyyy")</f>
        <v>02-Apr-
2026</v>
      </c>
      <c r="L2" t="str">
        <f>TEXT(DATEVALUE(SUBSTITUTE(C2,CHAR(10),"")),"dd-mm-yyyy")</f>
        <v>02-04-2026</v>
      </c>
    </row>
    <row r="3" spans="1:12" ht="21" x14ac:dyDescent="0.2">
      <c r="A3" s="9">
        <v>2</v>
      </c>
      <c r="B3" s="10" t="s">
        <v>10</v>
      </c>
      <c r="C3" s="11" t="s">
        <v>8</v>
      </c>
      <c r="D3" s="20" t="s">
        <v>11</v>
      </c>
      <c r="E3" s="13">
        <v>800</v>
      </c>
      <c r="F3" s="12"/>
      <c r="G3" s="13">
        <v>449476</v>
      </c>
      <c r="J3" s="17" t="str">
        <f t="shared" ref="J3:J42" si="0">TEXT(C3, "dd/mm/yyyy")</f>
        <v>02-Apr-
2026</v>
      </c>
      <c r="L3" t="str">
        <f t="shared" ref="L3:L42" si="1">TEXT(DATEVALUE(SUBSTITUTE(C3,CHAR(10),"")),"dd-mm-yyyy")</f>
        <v>02-04-2026</v>
      </c>
    </row>
    <row r="4" spans="1:12" ht="21" x14ac:dyDescent="0.2">
      <c r="A4" s="3">
        <v>3</v>
      </c>
      <c r="B4" s="4" t="s">
        <v>12</v>
      </c>
      <c r="C4" s="5" t="s">
        <v>8</v>
      </c>
      <c r="D4" s="21" t="s">
        <v>13</v>
      </c>
      <c r="E4" s="8">
        <v>1000000</v>
      </c>
      <c r="F4" s="6"/>
      <c r="G4" s="8">
        <v>-550524</v>
      </c>
      <c r="J4" s="17" t="str">
        <f t="shared" si="0"/>
        <v>02-Apr-
2026</v>
      </c>
      <c r="L4" t="str">
        <f t="shared" si="1"/>
        <v>02-04-2026</v>
      </c>
    </row>
    <row r="5" spans="1:12" ht="31.5" x14ac:dyDescent="0.2">
      <c r="A5" s="9">
        <v>4</v>
      </c>
      <c r="B5" s="10" t="s">
        <v>14</v>
      </c>
      <c r="C5" s="11" t="s">
        <v>8</v>
      </c>
      <c r="D5" s="20" t="s">
        <v>15</v>
      </c>
      <c r="E5" s="13">
        <v>300000</v>
      </c>
      <c r="F5" s="12"/>
      <c r="G5" s="13">
        <v>-850524</v>
      </c>
      <c r="J5" s="17" t="str">
        <f t="shared" si="0"/>
        <v>02-Apr-
2026</v>
      </c>
      <c r="L5" t="str">
        <f t="shared" si="1"/>
        <v>02-04-2026</v>
      </c>
    </row>
    <row r="6" spans="1:12" ht="31.5" x14ac:dyDescent="0.2">
      <c r="A6" s="3">
        <v>5</v>
      </c>
      <c r="B6" s="4" t="s">
        <v>16</v>
      </c>
      <c r="C6" s="5" t="s">
        <v>8</v>
      </c>
      <c r="D6" s="21" t="s">
        <v>17</v>
      </c>
      <c r="E6" s="6"/>
      <c r="F6" s="8">
        <v>950524</v>
      </c>
      <c r="G6" s="8">
        <v>100000</v>
      </c>
      <c r="J6" s="17" t="str">
        <f t="shared" si="0"/>
        <v>02-Apr-
2026</v>
      </c>
      <c r="L6" t="str">
        <f t="shared" si="1"/>
        <v>02-04-2026</v>
      </c>
    </row>
    <row r="7" spans="1:12" ht="21" x14ac:dyDescent="0.2">
      <c r="A7" s="9">
        <v>6</v>
      </c>
      <c r="B7" s="14" t="s">
        <v>18</v>
      </c>
      <c r="C7" s="11" t="s">
        <v>8</v>
      </c>
      <c r="D7" s="20" t="s">
        <v>19</v>
      </c>
      <c r="E7" s="12"/>
      <c r="F7" s="13">
        <v>469</v>
      </c>
      <c r="G7" s="13">
        <v>100469</v>
      </c>
      <c r="J7" s="17" t="str">
        <f t="shared" si="0"/>
        <v>02-Apr-
2026</v>
      </c>
      <c r="L7" t="str">
        <f t="shared" si="1"/>
        <v>02-04-2026</v>
      </c>
    </row>
    <row r="8" spans="1:12" ht="21" x14ac:dyDescent="0.2">
      <c r="A8" s="3">
        <v>7</v>
      </c>
      <c r="B8" s="7" t="s">
        <v>20</v>
      </c>
      <c r="C8" s="5" t="s">
        <v>21</v>
      </c>
      <c r="D8" s="21" t="s">
        <v>22</v>
      </c>
      <c r="E8" s="6"/>
      <c r="F8" s="8">
        <v>340762</v>
      </c>
      <c r="G8" s="8">
        <v>441231</v>
      </c>
      <c r="J8" s="17" t="str">
        <f t="shared" si="0"/>
        <v>04-Apr-
2026</v>
      </c>
      <c r="L8" t="str">
        <f t="shared" si="1"/>
        <v>04-04-2026</v>
      </c>
    </row>
    <row r="9" spans="1:12" ht="21" x14ac:dyDescent="0.2">
      <c r="A9" s="9">
        <v>8</v>
      </c>
      <c r="B9" s="14" t="s">
        <v>23</v>
      </c>
      <c r="C9" s="11" t="s">
        <v>24</v>
      </c>
      <c r="D9" s="20" t="s">
        <v>25</v>
      </c>
      <c r="E9" s="12"/>
      <c r="F9" s="13">
        <v>369390</v>
      </c>
      <c r="G9" s="13">
        <v>810621</v>
      </c>
      <c r="J9" s="17" t="str">
        <f t="shared" si="0"/>
        <v>05-Apr-
2026</v>
      </c>
      <c r="L9" t="str">
        <f t="shared" si="1"/>
        <v>05-04-2026</v>
      </c>
    </row>
    <row r="10" spans="1:12" ht="31.5" x14ac:dyDescent="0.2">
      <c r="A10" s="3">
        <v>9</v>
      </c>
      <c r="B10" s="7" t="s">
        <v>26</v>
      </c>
      <c r="C10" s="5" t="s">
        <v>24</v>
      </c>
      <c r="D10" s="21" t="s">
        <v>27</v>
      </c>
      <c r="E10" s="8">
        <v>300943</v>
      </c>
      <c r="F10" s="6"/>
      <c r="G10" s="8">
        <v>509678</v>
      </c>
      <c r="J10" s="17" t="str">
        <f t="shared" si="0"/>
        <v>05-Apr-
2026</v>
      </c>
      <c r="L10" t="str">
        <f t="shared" si="1"/>
        <v>05-04-2026</v>
      </c>
    </row>
    <row r="11" spans="1:12" ht="21" x14ac:dyDescent="0.2">
      <c r="A11" s="9">
        <v>10</v>
      </c>
      <c r="B11" s="14" t="s">
        <v>28</v>
      </c>
      <c r="C11" s="11" t="s">
        <v>29</v>
      </c>
      <c r="D11" s="20" t="s">
        <v>30</v>
      </c>
      <c r="E11" s="13">
        <v>1260</v>
      </c>
      <c r="F11" s="12"/>
      <c r="G11" s="13">
        <v>508418</v>
      </c>
      <c r="J11" s="17" t="str">
        <f t="shared" si="0"/>
        <v>06-Apr-
2026</v>
      </c>
      <c r="L11" t="str">
        <f t="shared" si="1"/>
        <v>06-04-2026</v>
      </c>
    </row>
    <row r="12" spans="1:12" ht="21" x14ac:dyDescent="0.2">
      <c r="A12" s="3">
        <v>11</v>
      </c>
      <c r="B12" s="7" t="s">
        <v>31</v>
      </c>
      <c r="C12" s="5" t="s">
        <v>29</v>
      </c>
      <c r="D12" s="21" t="s">
        <v>32</v>
      </c>
      <c r="E12" s="8">
        <v>1500000</v>
      </c>
      <c r="F12" s="6"/>
      <c r="G12" s="8">
        <v>-991582</v>
      </c>
      <c r="J12" s="17" t="str">
        <f t="shared" si="0"/>
        <v>06-Apr-
2026</v>
      </c>
      <c r="L12" t="str">
        <f t="shared" si="1"/>
        <v>06-04-2026</v>
      </c>
    </row>
    <row r="13" spans="1:12" ht="21" x14ac:dyDescent="0.2">
      <c r="A13" s="9">
        <v>12</v>
      </c>
      <c r="B13" s="14" t="s">
        <v>33</v>
      </c>
      <c r="C13" s="11" t="s">
        <v>29</v>
      </c>
      <c r="D13" s="20" t="s">
        <v>34</v>
      </c>
      <c r="E13" s="13">
        <v>700000</v>
      </c>
      <c r="F13" s="12"/>
      <c r="G13" s="13">
        <v>-1691582</v>
      </c>
      <c r="J13" s="17" t="str">
        <f t="shared" si="0"/>
        <v>06-Apr-
2026</v>
      </c>
      <c r="L13" t="str">
        <f t="shared" si="1"/>
        <v>06-04-2026</v>
      </c>
    </row>
    <row r="14" spans="1:12" ht="31.5" x14ac:dyDescent="0.2">
      <c r="A14" s="3">
        <v>13</v>
      </c>
      <c r="B14" s="7" t="s">
        <v>35</v>
      </c>
      <c r="C14" s="5" t="s">
        <v>29</v>
      </c>
      <c r="D14" s="21" t="s">
        <v>17</v>
      </c>
      <c r="E14" s="6"/>
      <c r="F14" s="8">
        <v>1791582</v>
      </c>
      <c r="G14" s="8">
        <v>100000</v>
      </c>
      <c r="J14" s="17" t="str">
        <f t="shared" si="0"/>
        <v>06-Apr-
2026</v>
      </c>
      <c r="L14" t="str">
        <f t="shared" si="1"/>
        <v>06-04-2026</v>
      </c>
    </row>
    <row r="15" spans="1:12" ht="21" x14ac:dyDescent="0.2">
      <c r="A15" s="9">
        <v>14</v>
      </c>
      <c r="B15" s="14" t="s">
        <v>36</v>
      </c>
      <c r="C15" s="11" t="s">
        <v>29</v>
      </c>
      <c r="D15" s="20" t="s">
        <v>19</v>
      </c>
      <c r="E15" s="12"/>
      <c r="F15" s="13">
        <v>1326</v>
      </c>
      <c r="G15" s="13">
        <v>101326</v>
      </c>
      <c r="J15" s="17" t="str">
        <f t="shared" si="0"/>
        <v>06-Apr-
2026</v>
      </c>
      <c r="L15" t="str">
        <f t="shared" si="1"/>
        <v>06-04-2026</v>
      </c>
    </row>
    <row r="16" spans="1:12" ht="21" x14ac:dyDescent="0.2">
      <c r="A16" s="3">
        <v>15</v>
      </c>
      <c r="B16" s="4" t="s">
        <v>37</v>
      </c>
      <c r="C16" s="5" t="s">
        <v>38</v>
      </c>
      <c r="D16" s="21" t="s">
        <v>39</v>
      </c>
      <c r="E16" s="15">
        <v>194823</v>
      </c>
      <c r="F16" s="6"/>
      <c r="G16" s="8">
        <v>-93497</v>
      </c>
      <c r="J16" s="17" t="str">
        <f t="shared" si="0"/>
        <v>07-Apr-
2026</v>
      </c>
      <c r="L16" t="str">
        <f t="shared" si="1"/>
        <v>07-04-2026</v>
      </c>
    </row>
    <row r="17" spans="1:12" ht="31.5" x14ac:dyDescent="0.2">
      <c r="A17" s="9">
        <v>16</v>
      </c>
      <c r="B17" s="10" t="s">
        <v>40</v>
      </c>
      <c r="C17" s="11" t="s">
        <v>38</v>
      </c>
      <c r="D17" s="20" t="s">
        <v>17</v>
      </c>
      <c r="E17" s="12"/>
      <c r="F17" s="13">
        <v>193497</v>
      </c>
      <c r="G17" s="13">
        <v>100000</v>
      </c>
      <c r="J17" s="17" t="str">
        <f t="shared" si="0"/>
        <v>07-Apr-
2026</v>
      </c>
      <c r="L17" t="str">
        <f t="shared" si="1"/>
        <v>07-04-2026</v>
      </c>
    </row>
    <row r="18" spans="1:12" ht="21" x14ac:dyDescent="0.2">
      <c r="A18" s="3">
        <v>17</v>
      </c>
      <c r="B18" s="4" t="s">
        <v>41</v>
      </c>
      <c r="C18" s="5" t="s">
        <v>38</v>
      </c>
      <c r="D18" s="21" t="s">
        <v>19</v>
      </c>
      <c r="E18" s="6"/>
      <c r="F18" s="8">
        <v>155</v>
      </c>
      <c r="G18" s="8">
        <v>100155</v>
      </c>
      <c r="J18" s="17" t="str">
        <f t="shared" si="0"/>
        <v>07-Apr-
2026</v>
      </c>
      <c r="L18" t="str">
        <f t="shared" si="1"/>
        <v>07-04-2026</v>
      </c>
    </row>
    <row r="19" spans="1:12" ht="31.5" x14ac:dyDescent="0.2">
      <c r="A19" s="9">
        <v>18</v>
      </c>
      <c r="B19" s="10" t="s">
        <v>42</v>
      </c>
      <c r="C19" s="11" t="s">
        <v>38</v>
      </c>
      <c r="D19" s="20" t="s">
        <v>43</v>
      </c>
      <c r="E19" s="16">
        <v>15930</v>
      </c>
      <c r="F19" s="12"/>
      <c r="G19" s="13">
        <v>84225</v>
      </c>
      <c r="J19" s="17" t="str">
        <f t="shared" si="0"/>
        <v>07-Apr-
2026</v>
      </c>
      <c r="L19" t="str">
        <f t="shared" si="1"/>
        <v>07-04-2026</v>
      </c>
    </row>
    <row r="20" spans="1:12" ht="21" x14ac:dyDescent="0.2">
      <c r="A20" s="3">
        <v>19</v>
      </c>
      <c r="B20" s="4" t="s">
        <v>44</v>
      </c>
      <c r="C20" s="5" t="s">
        <v>38</v>
      </c>
      <c r="D20" s="21" t="s">
        <v>45</v>
      </c>
      <c r="E20" s="15">
        <v>200000</v>
      </c>
      <c r="F20" s="6"/>
      <c r="G20" s="8">
        <v>-115775</v>
      </c>
      <c r="J20" s="17" t="str">
        <f t="shared" si="0"/>
        <v>07-Apr-
2026</v>
      </c>
      <c r="L20" t="str">
        <f t="shared" si="1"/>
        <v>07-04-2026</v>
      </c>
    </row>
    <row r="21" spans="1:12" ht="21" x14ac:dyDescent="0.2">
      <c r="A21" s="9">
        <v>20</v>
      </c>
      <c r="B21" s="10" t="s">
        <v>46</v>
      </c>
      <c r="C21" s="11" t="s">
        <v>38</v>
      </c>
      <c r="D21" s="23" t="s">
        <v>47</v>
      </c>
      <c r="E21" s="12"/>
      <c r="F21" s="13">
        <v>347713</v>
      </c>
      <c r="G21" s="13">
        <v>231938</v>
      </c>
      <c r="J21" s="17" t="str">
        <f t="shared" si="0"/>
        <v>07-Apr-
2026</v>
      </c>
      <c r="L21" t="str">
        <f t="shared" si="1"/>
        <v>07-04-2026</v>
      </c>
    </row>
    <row r="22" spans="1:12" ht="21" x14ac:dyDescent="0.2">
      <c r="A22" s="3">
        <v>21</v>
      </c>
      <c r="B22" s="4" t="s">
        <v>48</v>
      </c>
      <c r="C22" s="5" t="s">
        <v>38</v>
      </c>
      <c r="D22" s="19" t="s">
        <v>49</v>
      </c>
      <c r="E22" s="6"/>
      <c r="F22" s="8">
        <v>435027</v>
      </c>
      <c r="G22" s="8">
        <v>666965</v>
      </c>
      <c r="J22" s="17" t="str">
        <f t="shared" si="0"/>
        <v>07-Apr-
2026</v>
      </c>
      <c r="L22" t="str">
        <f t="shared" si="1"/>
        <v>07-04-2026</v>
      </c>
    </row>
    <row r="23" spans="1:12" ht="21" x14ac:dyDescent="0.2">
      <c r="A23" s="9">
        <v>22</v>
      </c>
      <c r="B23" s="10" t="s">
        <v>50</v>
      </c>
      <c r="C23" s="11" t="s">
        <v>38</v>
      </c>
      <c r="D23" s="20" t="s">
        <v>51</v>
      </c>
      <c r="E23" s="16">
        <v>6000</v>
      </c>
      <c r="F23" s="12"/>
      <c r="G23" s="13">
        <v>660965</v>
      </c>
      <c r="J23" s="17" t="str">
        <f t="shared" si="0"/>
        <v>07-Apr-
2026</v>
      </c>
      <c r="L23" t="str">
        <f t="shared" si="1"/>
        <v>07-04-2026</v>
      </c>
    </row>
    <row r="24" spans="1:12" ht="21" x14ac:dyDescent="0.2">
      <c r="A24" s="3">
        <v>23</v>
      </c>
      <c r="B24" s="7" t="s">
        <v>52</v>
      </c>
      <c r="C24" s="5" t="s">
        <v>38</v>
      </c>
      <c r="D24" s="21" t="s">
        <v>53</v>
      </c>
      <c r="E24" s="8">
        <v>21000</v>
      </c>
      <c r="F24" s="6"/>
      <c r="G24" s="8">
        <v>639965</v>
      </c>
      <c r="J24" s="17" t="str">
        <f t="shared" si="0"/>
        <v>07-Apr-
2026</v>
      </c>
      <c r="L24" t="str">
        <f t="shared" si="1"/>
        <v>07-04-2026</v>
      </c>
    </row>
    <row r="25" spans="1:12" ht="21" x14ac:dyDescent="0.2">
      <c r="A25" s="9">
        <v>24</v>
      </c>
      <c r="B25" s="14" t="s">
        <v>54</v>
      </c>
      <c r="C25" s="11" t="s">
        <v>55</v>
      </c>
      <c r="D25" s="20" t="s">
        <v>56</v>
      </c>
      <c r="E25" s="12"/>
      <c r="F25" s="16">
        <v>276988</v>
      </c>
      <c r="G25" s="13">
        <v>916953</v>
      </c>
      <c r="J25" s="17" t="str">
        <f t="shared" si="0"/>
        <v>08-Apr-
2026</v>
      </c>
      <c r="L25" t="str">
        <f t="shared" si="1"/>
        <v>08-04-2026</v>
      </c>
    </row>
    <row r="26" spans="1:12" ht="21" x14ac:dyDescent="0.2">
      <c r="A26" s="3">
        <v>25</v>
      </c>
      <c r="B26" s="7" t="s">
        <v>57</v>
      </c>
      <c r="C26" s="5" t="s">
        <v>55</v>
      </c>
      <c r="D26" s="21" t="s">
        <v>58</v>
      </c>
      <c r="E26" s="8">
        <v>30000</v>
      </c>
      <c r="F26" s="6"/>
      <c r="G26" s="8">
        <v>886953</v>
      </c>
      <c r="J26" s="17" t="str">
        <f t="shared" si="0"/>
        <v>08-Apr-
2026</v>
      </c>
      <c r="L26" t="str">
        <f t="shared" si="1"/>
        <v>08-04-2026</v>
      </c>
    </row>
    <row r="27" spans="1:12" ht="21" x14ac:dyDescent="0.2">
      <c r="A27" s="9">
        <v>26</v>
      </c>
      <c r="B27" s="14" t="s">
        <v>59</v>
      </c>
      <c r="C27" s="11" t="s">
        <v>55</v>
      </c>
      <c r="D27" s="20" t="s">
        <v>60</v>
      </c>
      <c r="E27" s="13">
        <v>2720</v>
      </c>
      <c r="F27" s="12"/>
      <c r="G27" s="13">
        <v>884233</v>
      </c>
      <c r="J27" s="17" t="str">
        <f t="shared" si="0"/>
        <v>08-Apr-
2026</v>
      </c>
      <c r="L27" t="str">
        <f t="shared" si="1"/>
        <v>08-04-2026</v>
      </c>
    </row>
    <row r="28" spans="1:12" ht="31.5" x14ac:dyDescent="0.2">
      <c r="A28" s="3">
        <v>27</v>
      </c>
      <c r="B28" s="7" t="s">
        <v>61</v>
      </c>
      <c r="C28" s="5" t="s">
        <v>62</v>
      </c>
      <c r="D28" s="21" t="s">
        <v>63</v>
      </c>
      <c r="E28" s="6"/>
      <c r="F28" s="15">
        <v>316494</v>
      </c>
      <c r="G28" s="8">
        <v>1200727</v>
      </c>
      <c r="J28" s="17" t="str">
        <f t="shared" si="0"/>
        <v>09-Apr-
2026</v>
      </c>
      <c r="L28" t="str">
        <f t="shared" si="1"/>
        <v>09-04-2026</v>
      </c>
    </row>
    <row r="29" spans="1:12" ht="21" x14ac:dyDescent="0.2">
      <c r="A29" s="9">
        <v>28</v>
      </c>
      <c r="B29" s="14" t="s">
        <v>64</v>
      </c>
      <c r="C29" s="11" t="s">
        <v>62</v>
      </c>
      <c r="D29" s="23" t="s">
        <v>65</v>
      </c>
      <c r="E29" s="13">
        <v>29.5</v>
      </c>
      <c r="F29" s="12"/>
      <c r="G29" s="13">
        <v>1200697.5</v>
      </c>
      <c r="J29" s="17" t="str">
        <f t="shared" si="0"/>
        <v>09-Apr-
2026</v>
      </c>
      <c r="L29" t="str">
        <f t="shared" si="1"/>
        <v>09-04-2026</v>
      </c>
    </row>
    <row r="30" spans="1:12" ht="21" x14ac:dyDescent="0.2">
      <c r="A30" s="3">
        <v>29</v>
      </c>
      <c r="B30" s="7" t="s">
        <v>66</v>
      </c>
      <c r="C30" s="5" t="s">
        <v>67</v>
      </c>
      <c r="D30" s="21" t="s">
        <v>68</v>
      </c>
      <c r="E30" s="8">
        <v>20000</v>
      </c>
      <c r="F30" s="6"/>
      <c r="G30" s="8">
        <v>1180697.5</v>
      </c>
      <c r="J30" s="17" t="str">
        <f t="shared" si="0"/>
        <v>10-Apr-
2026</v>
      </c>
      <c r="L30" t="str">
        <f t="shared" si="1"/>
        <v>10-04-2026</v>
      </c>
    </row>
    <row r="31" spans="1:12" ht="21" x14ac:dyDescent="0.2">
      <c r="A31" s="9">
        <v>30</v>
      </c>
      <c r="B31" s="14" t="s">
        <v>69</v>
      </c>
      <c r="C31" s="11" t="s">
        <v>70</v>
      </c>
      <c r="D31" s="20" t="s">
        <v>71</v>
      </c>
      <c r="E31" s="13">
        <v>10150</v>
      </c>
      <c r="F31" s="12"/>
      <c r="G31" s="13">
        <v>1170547.5</v>
      </c>
      <c r="J31" s="17" t="str">
        <f t="shared" si="0"/>
        <v>11-Apr-
2026</v>
      </c>
      <c r="L31" t="str">
        <f t="shared" si="1"/>
        <v>11-04-2026</v>
      </c>
    </row>
    <row r="32" spans="1:12" ht="21" x14ac:dyDescent="0.2">
      <c r="A32" s="3">
        <v>31</v>
      </c>
      <c r="B32" s="7" t="s">
        <v>72</v>
      </c>
      <c r="C32" s="5" t="s">
        <v>70</v>
      </c>
      <c r="D32" s="21" t="s">
        <v>73</v>
      </c>
      <c r="E32" s="15">
        <v>10850</v>
      </c>
      <c r="F32" s="6"/>
      <c r="G32" s="8">
        <v>1159697.5</v>
      </c>
      <c r="J32" s="17" t="str">
        <f t="shared" si="0"/>
        <v>11-Apr-
2026</v>
      </c>
      <c r="L32" t="str">
        <f t="shared" si="1"/>
        <v>11-04-2026</v>
      </c>
    </row>
    <row r="33" spans="1:12" ht="21" x14ac:dyDescent="0.2">
      <c r="A33" s="9">
        <v>32</v>
      </c>
      <c r="B33" s="14" t="s">
        <v>74</v>
      </c>
      <c r="C33" s="11" t="s">
        <v>70</v>
      </c>
      <c r="D33" s="20" t="s">
        <v>75</v>
      </c>
      <c r="E33" s="16">
        <v>9100</v>
      </c>
      <c r="F33" s="12"/>
      <c r="G33" s="13">
        <v>1150597.5</v>
      </c>
      <c r="J33" s="17" t="str">
        <f t="shared" si="0"/>
        <v>11-Apr-
2026</v>
      </c>
      <c r="L33" t="str">
        <f t="shared" si="1"/>
        <v>11-04-2026</v>
      </c>
    </row>
    <row r="34" spans="1:12" ht="21" x14ac:dyDescent="0.2">
      <c r="A34" s="3">
        <v>33</v>
      </c>
      <c r="B34" s="7" t="s">
        <v>76</v>
      </c>
      <c r="C34" s="5" t="s">
        <v>70</v>
      </c>
      <c r="D34" s="21" t="s">
        <v>77</v>
      </c>
      <c r="E34" s="15">
        <v>9800</v>
      </c>
      <c r="F34" s="6"/>
      <c r="G34" s="8">
        <v>1140797.5</v>
      </c>
      <c r="J34" s="17" t="str">
        <f t="shared" si="0"/>
        <v>11-Apr-
2026</v>
      </c>
      <c r="L34" t="str">
        <f t="shared" si="1"/>
        <v>11-04-2026</v>
      </c>
    </row>
    <row r="35" spans="1:12" ht="21" x14ac:dyDescent="0.2">
      <c r="A35" s="9">
        <v>34</v>
      </c>
      <c r="B35" s="14" t="s">
        <v>78</v>
      </c>
      <c r="C35" s="11" t="s">
        <v>79</v>
      </c>
      <c r="D35" s="20" t="s">
        <v>80</v>
      </c>
      <c r="E35" s="16">
        <v>400000</v>
      </c>
      <c r="F35" s="12"/>
      <c r="G35" s="13">
        <v>740797.5</v>
      </c>
      <c r="J35" s="17" t="str">
        <f t="shared" si="0"/>
        <v>13-Apr-
2026</v>
      </c>
      <c r="L35" t="str">
        <f t="shared" si="1"/>
        <v>13-04-2026</v>
      </c>
    </row>
    <row r="36" spans="1:12" ht="31.5" x14ac:dyDescent="0.2">
      <c r="A36" s="3">
        <v>35</v>
      </c>
      <c r="B36" s="7" t="s">
        <v>81</v>
      </c>
      <c r="C36" s="5" t="s">
        <v>79</v>
      </c>
      <c r="D36" s="21" t="s">
        <v>82</v>
      </c>
      <c r="E36" s="6"/>
      <c r="F36" s="8">
        <v>325433</v>
      </c>
      <c r="G36" s="8">
        <v>1066230.5</v>
      </c>
      <c r="J36" s="17" t="str">
        <f t="shared" si="0"/>
        <v>13-Apr-
2026</v>
      </c>
      <c r="L36" t="str">
        <f t="shared" si="1"/>
        <v>13-04-2026</v>
      </c>
    </row>
    <row r="37" spans="1:12" ht="21" x14ac:dyDescent="0.2">
      <c r="A37" s="9">
        <v>36</v>
      </c>
      <c r="B37" s="14" t="s">
        <v>83</v>
      </c>
      <c r="C37" s="11" t="s">
        <v>79</v>
      </c>
      <c r="D37" s="20" t="s">
        <v>84</v>
      </c>
      <c r="E37" s="16">
        <v>500000</v>
      </c>
      <c r="F37" s="12"/>
      <c r="G37" s="13">
        <v>566230.5</v>
      </c>
      <c r="J37" s="17" t="str">
        <f t="shared" si="0"/>
        <v>13-Apr-
2026</v>
      </c>
      <c r="L37" t="str">
        <f t="shared" si="1"/>
        <v>13-04-2026</v>
      </c>
    </row>
    <row r="38" spans="1:12" ht="31.5" x14ac:dyDescent="0.2">
      <c r="A38" s="3">
        <v>37</v>
      </c>
      <c r="B38" s="7" t="s">
        <v>85</v>
      </c>
      <c r="C38" s="5" t="s">
        <v>86</v>
      </c>
      <c r="D38" s="21" t="s">
        <v>87</v>
      </c>
      <c r="E38" s="15">
        <v>251095</v>
      </c>
      <c r="F38" s="6"/>
      <c r="G38" s="8">
        <v>315135.5</v>
      </c>
      <c r="J38" s="17" t="str">
        <f t="shared" si="0"/>
        <v>14-Apr-
2026</v>
      </c>
      <c r="L38" t="str">
        <f t="shared" si="1"/>
        <v>14-04-2026</v>
      </c>
    </row>
    <row r="39" spans="1:12" ht="21" x14ac:dyDescent="0.2">
      <c r="A39" s="9">
        <v>38</v>
      </c>
      <c r="B39" s="14" t="s">
        <v>88</v>
      </c>
      <c r="C39" s="11" t="s">
        <v>86</v>
      </c>
      <c r="D39" s="20" t="s">
        <v>89</v>
      </c>
      <c r="E39" s="16">
        <v>10000</v>
      </c>
      <c r="F39" s="12"/>
      <c r="G39" s="13">
        <v>305135.5</v>
      </c>
      <c r="J39" s="17" t="str">
        <f t="shared" si="0"/>
        <v>14-Apr-
2026</v>
      </c>
      <c r="L39" t="str">
        <f t="shared" si="1"/>
        <v>14-04-2026</v>
      </c>
    </row>
    <row r="40" spans="1:12" ht="21" x14ac:dyDescent="0.2">
      <c r="A40" s="3">
        <v>39</v>
      </c>
      <c r="B40" s="7" t="s">
        <v>90</v>
      </c>
      <c r="C40" s="5" t="s">
        <v>86</v>
      </c>
      <c r="D40" s="21" t="s">
        <v>91</v>
      </c>
      <c r="E40" s="8">
        <v>1000</v>
      </c>
      <c r="F40" s="6"/>
      <c r="G40" s="8">
        <v>304135.5</v>
      </c>
      <c r="J40" s="17" t="str">
        <f t="shared" si="0"/>
        <v>14-Apr-
2026</v>
      </c>
      <c r="L40" t="str">
        <f t="shared" si="1"/>
        <v>14-04-2026</v>
      </c>
    </row>
    <row r="41" spans="1:12" ht="31.5" x14ac:dyDescent="0.2">
      <c r="A41" s="9">
        <v>40</v>
      </c>
      <c r="B41" s="14" t="s">
        <v>92</v>
      </c>
      <c r="C41" s="11" t="s">
        <v>93</v>
      </c>
      <c r="D41" s="20" t="s">
        <v>94</v>
      </c>
      <c r="E41" s="13">
        <v>254697</v>
      </c>
      <c r="F41" s="12"/>
      <c r="G41" s="13">
        <v>49438.5</v>
      </c>
      <c r="J41" s="17" t="str">
        <f t="shared" si="0"/>
        <v>18-Apr-
2026</v>
      </c>
      <c r="L41" t="str">
        <f t="shared" si="1"/>
        <v>18-04-2026</v>
      </c>
    </row>
    <row r="42" spans="1:12" ht="21" x14ac:dyDescent="0.2">
      <c r="A42" s="3">
        <v>41</v>
      </c>
      <c r="B42" s="7" t="s">
        <v>95</v>
      </c>
      <c r="C42" s="5" t="s">
        <v>93</v>
      </c>
      <c r="D42" s="19" t="s">
        <v>96</v>
      </c>
      <c r="E42" s="6"/>
      <c r="F42" s="8">
        <v>248119</v>
      </c>
      <c r="G42" s="8">
        <v>297557.5</v>
      </c>
      <c r="J42" s="17" t="str">
        <f t="shared" si="0"/>
        <v>18-Apr-
2026</v>
      </c>
      <c r="L42" t="str">
        <f t="shared" si="1"/>
        <v>18-04-2026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2026-04-20T05:41:48Z</dcterms:created>
  <dcterms:modified xsi:type="dcterms:W3CDTF">2026-04-20T05:51:24Z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LastSaved">
    <vt:filetime>2026-04-20T00:00:00Z</vt:filetime>
  </property>
  <property fmtid="{D5CDD505-2E9C-101B-9397-08002B2CF9AE}" pid="4" name="Producer">
    <vt:lpwstr>iText 2.1.7 by 1T3XT</vt:lpwstr>
  </property>
</Properties>
</file>