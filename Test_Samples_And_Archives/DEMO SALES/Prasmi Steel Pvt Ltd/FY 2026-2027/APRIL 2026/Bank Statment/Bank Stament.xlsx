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6-2027/APRIL 2026/Bank Statment/"/>
    </mc:Choice>
  </mc:AlternateContent>
  <xr:revisionPtr revIDLastSave="28" documentId="11_BDDFD030BCB179743FC7642A463B9AE3685F506E" xr6:coauthVersionLast="47" xr6:coauthVersionMax="47" xr10:uidLastSave="{7713F5A0-A6F4-4B95-A09D-328627D389CD}"/>
  <bookViews>
    <workbookView xWindow="-120" yWindow="-120" windowWidth="24240" windowHeight="130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</calcChain>
</file>

<file path=xl/sharedStrings.xml><?xml version="1.0" encoding="utf-8"?>
<sst xmlns="http://schemas.openxmlformats.org/spreadsheetml/2006/main" count="137" uniqueCount="91">
  <si>
    <r>
      <rPr>
        <b/>
        <sz val="10"/>
        <rFont val="Arial"/>
        <family val="2"/>
      </rPr>
      <t>Sr No</t>
    </r>
  </si>
  <si>
    <r>
      <rPr>
        <b/>
        <sz val="10"/>
        <rFont val="Arial"/>
        <family val="2"/>
      </rPr>
      <t>Tran ID</t>
    </r>
  </si>
  <si>
    <r>
      <rPr>
        <b/>
        <sz val="10"/>
        <rFont val="Arial"/>
        <family val="2"/>
      </rPr>
      <t>Transaction Date</t>
    </r>
  </si>
  <si>
    <r>
      <rPr>
        <b/>
        <sz val="10"/>
        <rFont val="Arial"/>
        <family val="2"/>
      </rPr>
      <t>Cheque no/  RefNo</t>
    </r>
  </si>
  <si>
    <r>
      <rPr>
        <b/>
        <sz val="10"/>
        <rFont val="Arial"/>
        <family val="2"/>
      </rPr>
      <t>Transaction Remarks</t>
    </r>
  </si>
  <si>
    <r>
      <rPr>
        <b/>
        <sz val="10"/>
        <rFont val="Arial"/>
        <family val="2"/>
      </rPr>
      <t>Withdrawl (Dr)</t>
    </r>
  </si>
  <si>
    <r>
      <rPr>
        <b/>
        <sz val="10"/>
        <rFont val="Arial"/>
        <family val="2"/>
      </rPr>
      <t>Deposit (Cr)</t>
    </r>
  </si>
  <si>
    <r>
      <rPr>
        <b/>
        <sz val="10"/>
        <rFont val="Arial"/>
        <family val="2"/>
      </rPr>
      <t>Balance</t>
    </r>
  </si>
  <si>
    <r>
      <rPr>
        <sz val="9"/>
        <rFont val="Arial MT"/>
        <family val="2"/>
      </rPr>
      <t>S885888</t>
    </r>
  </si>
  <si>
    <r>
      <rPr>
        <sz val="9"/>
        <rFont val="Arial MT"/>
        <family val="2"/>
      </rPr>
      <t>RTGS- UTIBR6202603026 0127797-KIASON METAL CAST PRIV</t>
    </r>
  </si>
  <si>
    <r>
      <rPr>
        <sz val="9"/>
        <rFont val="Arial MT"/>
        <family val="2"/>
      </rPr>
      <t>NA</t>
    </r>
  </si>
  <si>
    <r>
      <rPr>
        <sz val="9"/>
        <rFont val="Arial MT"/>
        <family val="2"/>
      </rPr>
      <t>S1249479</t>
    </r>
  </si>
  <si>
    <r>
      <rPr>
        <sz val="9"/>
        <rFont val="Arial MT"/>
        <family val="2"/>
      </rPr>
      <t>RTGS/ICICR42026 030200534617/KK BK0002798/JALAR AM T</t>
    </r>
  </si>
  <si>
    <r>
      <rPr>
        <sz val="9"/>
        <rFont val="Arial MT"/>
        <family val="2"/>
      </rPr>
      <t>S1279750</t>
    </r>
  </si>
  <si>
    <r>
      <rPr>
        <sz val="9"/>
        <rFont val="Arial MT"/>
        <family val="2"/>
      </rPr>
      <t xml:space="preserve">MMT/IMPS/606113
</t>
    </r>
    <r>
      <rPr>
        <sz val="9"/>
        <rFont val="Arial MT"/>
        <family val="2"/>
      </rPr>
      <t>176957/Advance20 26/PINTULOTHA/I DIB0</t>
    </r>
  </si>
  <si>
    <r>
      <rPr>
        <sz val="9"/>
        <rFont val="Arial MT"/>
        <family val="2"/>
      </rPr>
      <t>S1495110</t>
    </r>
  </si>
  <si>
    <r>
      <rPr>
        <sz val="9"/>
        <rFont val="Arial MT"/>
        <family val="2"/>
      </rPr>
      <t xml:space="preserve">MMT/IMPS/606115
</t>
    </r>
    <r>
      <rPr>
        <sz val="9"/>
        <rFont val="Arial MT"/>
        <family val="2"/>
      </rPr>
      <t>693332/PurchaseG T364/CarbideSHU/ KKB</t>
    </r>
  </si>
  <si>
    <r>
      <rPr>
        <sz val="9"/>
        <rFont val="Arial MT"/>
        <family val="2"/>
      </rPr>
      <t>S1579670</t>
    </r>
  </si>
  <si>
    <r>
      <rPr>
        <sz val="9"/>
        <rFont val="Arial MT"/>
        <family val="2"/>
      </rPr>
      <t xml:space="preserve">INF/INFT/0435422
</t>
    </r>
    <r>
      <rPr>
        <sz val="9"/>
        <rFont val="Arial MT"/>
        <family val="2"/>
      </rPr>
      <t>64721/PurchaseRJ T318 /SPoddarInter</t>
    </r>
  </si>
  <si>
    <r>
      <rPr>
        <sz val="9"/>
        <rFont val="Arial MT"/>
        <family val="2"/>
      </rPr>
      <t>S2524068</t>
    </r>
  </si>
  <si>
    <r>
      <rPr>
        <sz val="9"/>
        <rFont val="Arial MT"/>
        <family val="2"/>
      </rPr>
      <t xml:space="preserve">INF/INFT/0435540
</t>
    </r>
    <r>
      <rPr>
        <sz val="9"/>
        <rFont val="Arial MT"/>
        <family val="2"/>
      </rPr>
      <t>14071/PurchaseRJ T319 /SPoddarInter</t>
    </r>
  </si>
  <si>
    <r>
      <rPr>
        <sz val="9"/>
        <rFont val="Arial MT"/>
        <family val="2"/>
      </rPr>
      <t>S4747589</t>
    </r>
  </si>
  <si>
    <r>
      <rPr>
        <sz val="9"/>
        <rFont val="Arial MT"/>
        <family val="2"/>
      </rPr>
      <t>RTGS- UTIBR7202603050 0421424-SHREE RAJ CASTECH PRIV</t>
    </r>
  </si>
  <si>
    <r>
      <rPr>
        <sz val="9"/>
        <rFont val="Arial MT"/>
        <family val="2"/>
      </rPr>
      <t>S5109709</t>
    </r>
  </si>
  <si>
    <r>
      <rPr>
        <sz val="9"/>
        <rFont val="Arial MT"/>
        <family val="2"/>
      </rPr>
      <t xml:space="preserve">MMT/IMPS/606416
</t>
    </r>
    <r>
      <rPr>
        <sz val="9"/>
        <rFont val="Arial MT"/>
        <family val="2"/>
      </rPr>
      <t>623333/TractorTra nspor/SANJYTRAC T/K</t>
    </r>
  </si>
  <si>
    <r>
      <rPr>
        <sz val="9"/>
        <rFont val="Arial MT"/>
        <family val="2"/>
      </rPr>
      <t>S5827673</t>
    </r>
  </si>
  <si>
    <r>
      <rPr>
        <sz val="9"/>
        <rFont val="Arial MT"/>
        <family val="2"/>
      </rPr>
      <t>RTGS- KKBKR520260306 00755576-KRUPA METAL- 7912899555</t>
    </r>
  </si>
  <si>
    <r>
      <rPr>
        <sz val="9"/>
        <rFont val="Arial MT"/>
        <family val="2"/>
      </rPr>
      <t>S7969357</t>
    </r>
  </si>
  <si>
    <r>
      <rPr>
        <sz val="9"/>
        <rFont val="Arial MT"/>
        <family val="2"/>
      </rPr>
      <t xml:space="preserve">BIL/ONL/00117164
</t>
    </r>
    <r>
      <rPr>
        <sz val="9"/>
        <rFont val="Arial MT"/>
        <family val="2"/>
      </rPr>
      <t>8309/Reliance R/JioFi</t>
    </r>
  </si>
  <si>
    <r>
      <rPr>
        <sz val="9"/>
        <rFont val="Arial MT"/>
        <family val="2"/>
      </rPr>
      <t>S8816522</t>
    </r>
  </si>
  <si>
    <r>
      <rPr>
        <sz val="9"/>
        <rFont val="Arial MT"/>
        <family val="2"/>
      </rPr>
      <t xml:space="preserve">NEFT- CBINH2606894596 5-REVOLVING TECHNO CAST-
</t>
    </r>
    <r>
      <rPr>
        <sz val="9"/>
        <rFont val="Arial MT"/>
        <family val="2"/>
      </rPr>
      <t>//ATTN</t>
    </r>
  </si>
  <si>
    <r>
      <rPr>
        <sz val="9"/>
        <rFont val="Arial MT"/>
        <family val="2"/>
      </rPr>
      <t>M353107</t>
    </r>
  </si>
  <si>
    <r>
      <rPr>
        <sz val="9"/>
        <rFont val="Arial MT"/>
        <family val="2"/>
      </rPr>
      <t xml:space="preserve">CLG/MEGASTIC TECHNOCAST/55 5172/INB/05.03.20
</t>
    </r>
    <r>
      <rPr>
        <sz val="9"/>
        <rFont val="Arial MT"/>
        <family val="2"/>
      </rPr>
      <t>26</t>
    </r>
  </si>
  <si>
    <r>
      <rPr>
        <sz val="9"/>
        <rFont val="Arial MT"/>
        <family val="2"/>
      </rPr>
      <t>S9964441</t>
    </r>
  </si>
  <si>
    <r>
      <rPr>
        <sz val="9"/>
        <rFont val="Arial MT"/>
        <family val="2"/>
      </rPr>
      <t xml:space="preserve">UPI/109351073578
</t>
    </r>
    <r>
      <rPr>
        <sz val="9"/>
        <rFont val="Arial MT"/>
        <family val="2"/>
      </rPr>
      <t xml:space="preserve">/WeightbridgeCha/ 7852004182-
</t>
    </r>
    <r>
      <rPr>
        <sz val="9"/>
        <rFont val="Arial MT"/>
        <family val="2"/>
      </rPr>
      <t>2@yb//</t>
    </r>
  </si>
  <si>
    <r>
      <rPr>
        <sz val="9"/>
        <rFont val="Arial MT"/>
        <family val="2"/>
      </rPr>
      <t>S380763</t>
    </r>
  </si>
  <si>
    <r>
      <rPr>
        <sz val="9"/>
        <rFont val="Arial MT"/>
        <family val="2"/>
      </rPr>
      <t xml:space="preserve">MMT/IMPS/606914
</t>
    </r>
    <r>
      <rPr>
        <sz val="9"/>
        <rFont val="Arial MT"/>
        <family val="2"/>
      </rPr>
      <t>519462/AdvancePa yment/JKIMPEXKE V/KK</t>
    </r>
  </si>
  <si>
    <r>
      <rPr>
        <sz val="9"/>
        <rFont val="Arial MT"/>
        <family val="2"/>
      </rPr>
      <t>S1266527</t>
    </r>
  </si>
  <si>
    <r>
      <rPr>
        <sz val="9"/>
        <rFont val="Arial MT"/>
        <family val="2"/>
      </rPr>
      <t xml:space="preserve">MMT/IMPS/607011
</t>
    </r>
    <r>
      <rPr>
        <sz val="9"/>
        <rFont val="Arial MT"/>
        <family val="2"/>
      </rPr>
      <t>242185/SalaryFeb2 6/HiralalPos/IPOS0</t>
    </r>
  </si>
  <si>
    <r>
      <rPr>
        <sz val="9"/>
        <rFont val="Arial MT"/>
        <family val="2"/>
      </rPr>
      <t>S2253797</t>
    </r>
  </si>
  <si>
    <r>
      <rPr>
        <sz val="9"/>
        <rFont val="Arial MT"/>
        <family val="2"/>
      </rPr>
      <t>NEFT- KKBKH260719580 27-KRUPA METAL- PAYMENT- 79128995</t>
    </r>
  </si>
  <si>
    <r>
      <rPr>
        <sz val="9"/>
        <rFont val="Arial MT"/>
        <family val="2"/>
      </rPr>
      <t>S2907311</t>
    </r>
  </si>
  <si>
    <r>
      <rPr>
        <sz val="9"/>
        <rFont val="Arial MT"/>
        <family val="2"/>
      </rPr>
      <t>RTGS/ICICR42026 031200592112/KK BK0002798/JALAR AM T</t>
    </r>
  </si>
  <si>
    <r>
      <rPr>
        <sz val="9"/>
        <rFont val="Arial MT"/>
        <family val="2"/>
      </rPr>
      <t>S5033611</t>
    </r>
  </si>
  <si>
    <r>
      <rPr>
        <sz val="9"/>
        <rFont val="Arial MT"/>
        <family val="2"/>
      </rPr>
      <t xml:space="preserve">BIL/ONL/00117554
</t>
    </r>
    <r>
      <rPr>
        <sz val="9"/>
        <rFont val="Arial MT"/>
        <family val="2"/>
      </rPr>
      <t>4290/Paschim Gu/EleBillFeb26</t>
    </r>
  </si>
  <si>
    <r>
      <rPr>
        <sz val="9"/>
        <rFont val="Arial MT"/>
        <family val="2"/>
      </rPr>
      <t>S5574708</t>
    </r>
  </si>
  <si>
    <r>
      <rPr>
        <sz val="9"/>
        <rFont val="Arial MT"/>
        <family val="2"/>
      </rPr>
      <t>RTGS- UTIBR6202603166 3172879-KIASON METAL CAST PRIV</t>
    </r>
  </si>
  <si>
    <r>
      <rPr>
        <sz val="9"/>
        <rFont val="Arial MT"/>
        <family val="2"/>
      </rPr>
      <t>C55347</t>
    </r>
  </si>
  <si>
    <r>
      <rPr>
        <sz val="9"/>
        <rFont val="Arial MT"/>
        <family val="2"/>
      </rPr>
      <t>NEFT- KKBKH260756690 16-FARMER DIESEL SPARES- PAYMENT</t>
    </r>
  </si>
  <si>
    <r>
      <rPr>
        <sz val="9"/>
        <rFont val="Arial MT"/>
        <family val="2"/>
      </rPr>
      <t>S6977919</t>
    </r>
  </si>
  <si>
    <r>
      <rPr>
        <sz val="9"/>
        <rFont val="Arial MT"/>
        <family val="2"/>
      </rPr>
      <t>INF/INFT/0437400 06351/MADHAV TOPRASMI/MADH AV ENTER</t>
    </r>
  </si>
  <si>
    <r>
      <rPr>
        <sz val="9"/>
        <rFont val="Arial MT"/>
        <family val="2"/>
      </rPr>
      <t>S8498869</t>
    </r>
  </si>
  <si>
    <r>
      <rPr>
        <sz val="9"/>
        <rFont val="Arial MT"/>
        <family val="2"/>
      </rPr>
      <t>RTGS/ICICR42026 031900514640/KK BK0000831/JK IMPEX</t>
    </r>
  </si>
  <si>
    <r>
      <rPr>
        <sz val="9"/>
        <rFont val="Arial MT"/>
        <family val="2"/>
      </rPr>
      <t>S8522471</t>
    </r>
  </si>
  <si>
    <r>
      <rPr>
        <sz val="9"/>
        <rFont val="Arial MT"/>
        <family val="2"/>
      </rPr>
      <t xml:space="preserve">MMT/IMPS/607812
</t>
    </r>
    <r>
      <rPr>
        <sz val="9"/>
        <rFont val="Arial MT"/>
        <family val="2"/>
      </rPr>
      <t>736833/AdvanceM arch26/SONULOT HDA/ID</t>
    </r>
  </si>
  <si>
    <r>
      <rPr>
        <sz val="9"/>
        <rFont val="Arial MT"/>
        <family val="2"/>
      </rPr>
      <t>S8984985</t>
    </r>
  </si>
  <si>
    <r>
      <rPr>
        <sz val="9"/>
        <rFont val="Arial MT"/>
        <family val="2"/>
      </rPr>
      <t xml:space="preserve">INF/NEFT/IN42607 858131605/KKBK0
</t>
    </r>
    <r>
      <rPr>
        <sz val="9"/>
        <rFont val="Arial MT"/>
        <family val="2"/>
      </rPr>
      <t>000831/PurchaseG T53</t>
    </r>
  </si>
  <si>
    <r>
      <rPr>
        <sz val="9"/>
        <rFont val="Arial MT"/>
        <family val="2"/>
      </rPr>
      <t>M349443</t>
    </r>
  </si>
  <si>
    <r>
      <rPr>
        <sz val="9"/>
        <rFont val="Arial MT"/>
        <family val="2"/>
      </rPr>
      <t xml:space="preserve">CLG/MEGASTIC TECHNOCAST/55 5185/INB/16.03.20
</t>
    </r>
    <r>
      <rPr>
        <sz val="9"/>
        <rFont val="Arial MT"/>
        <family val="2"/>
      </rPr>
      <t>26</t>
    </r>
  </si>
  <si>
    <r>
      <rPr>
        <sz val="9"/>
        <rFont val="Arial MT"/>
        <family val="2"/>
      </rPr>
      <t>S1736670</t>
    </r>
  </si>
  <si>
    <r>
      <rPr>
        <sz val="9"/>
        <rFont val="Arial MT"/>
        <family val="2"/>
      </rPr>
      <t>RTGS- KKBKR520260323 00747845-KRUPA METAL- 7912899555</t>
    </r>
  </si>
  <si>
    <r>
      <rPr>
        <sz val="9"/>
        <rFont val="Arial MT"/>
        <family val="2"/>
      </rPr>
      <t>S1912595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</si>
  <si>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900625/AdvanceM arch26/HIRALALP OS/IP</t>
    </r>
  </si>
  <si>
    <r>
      <rPr>
        <sz val="9"/>
        <rFont val="Arial MT"/>
        <family val="2"/>
      </rPr>
      <t>S1914034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</si>
  <si>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902750/AdvanceM arch26/KESHAVLA BO/ID</t>
    </r>
  </si>
  <si>
    <r>
      <rPr>
        <sz val="9"/>
        <rFont val="Arial MT"/>
        <family val="2"/>
      </rPr>
      <t>S1921469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</si>
  <si>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921181/AdvanceM arch26/MITHAILOT H/ID</t>
    </r>
  </si>
  <si>
    <r>
      <rPr>
        <sz val="9"/>
        <rFont val="Arial MT"/>
        <family val="2"/>
      </rPr>
      <t>S1922390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</si>
  <si>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924066/AdvanceM arch26/SONULOT HDA/ID</t>
    </r>
  </si>
  <si>
    <r>
      <rPr>
        <sz val="9"/>
        <rFont val="Arial MT"/>
        <family val="2"/>
      </rPr>
      <t>S1947274</t>
    </r>
  </si>
  <si>
    <r>
      <rPr>
        <sz val="9"/>
        <rFont val="Arial MT"/>
        <family val="2"/>
      </rPr>
      <t xml:space="preserve">NEFT- CBINH2608257887 7-PRUSHTI TECHNOCAST-
</t>
    </r>
    <r>
      <rPr>
        <sz val="9"/>
        <rFont val="Arial MT"/>
        <family val="2"/>
      </rPr>
      <t>//ATTN/PR</t>
    </r>
  </si>
  <si>
    <r>
      <rPr>
        <sz val="9"/>
        <rFont val="Arial MT"/>
        <family val="2"/>
      </rPr>
      <t>M334757</t>
    </r>
  </si>
  <si>
    <r>
      <rPr>
        <sz val="9"/>
        <rFont val="Arial MT"/>
        <family val="2"/>
      </rPr>
      <t>Dr. Tran for funding A/c 072813013025</t>
    </r>
  </si>
  <si>
    <t>02-Mar-
2026</t>
  </si>
  <si>
    <t>Value Date</t>
  </si>
  <si>
    <r>
      <rPr>
        <i/>
        <sz val="9"/>
        <rFont val="Arial MT"/>
        <family val="2"/>
      </rPr>
      <t>02-Mar-
2026</t>
    </r>
  </si>
  <si>
    <r>
      <rPr>
        <i/>
        <sz val="9"/>
        <rFont val="Arial MT"/>
        <family val="2"/>
      </rPr>
      <t>03-Mar-
2026</t>
    </r>
  </si>
  <si>
    <r>
      <rPr>
        <i/>
        <sz val="9"/>
        <rFont val="Arial MT"/>
        <family val="2"/>
      </rPr>
      <t>05-Mar-
2026</t>
    </r>
  </si>
  <si>
    <r>
      <rPr>
        <i/>
        <sz val="9"/>
        <rFont val="Arial MT"/>
        <family val="2"/>
      </rPr>
      <t>06-Mar-
2026</t>
    </r>
  </si>
  <si>
    <r>
      <rPr>
        <i/>
        <sz val="9"/>
        <rFont val="Arial MT"/>
        <family val="2"/>
      </rPr>
      <t>08-Mar-
2026</t>
    </r>
  </si>
  <si>
    <r>
      <rPr>
        <i/>
        <sz val="9"/>
        <rFont val="Arial MT"/>
        <family val="2"/>
      </rPr>
      <t>09-Mar-
2026</t>
    </r>
  </si>
  <si>
    <r>
      <rPr>
        <i/>
        <sz val="9"/>
        <rFont val="Arial MT"/>
        <family val="2"/>
      </rPr>
      <t>10-Mar-
2026</t>
    </r>
  </si>
  <si>
    <r>
      <rPr>
        <i/>
        <sz val="9"/>
        <rFont val="Arial MT"/>
        <family val="2"/>
      </rPr>
      <t>11-Mar-
2026</t>
    </r>
  </si>
  <si>
    <r>
      <rPr>
        <i/>
        <sz val="9"/>
        <rFont val="Arial MT"/>
        <family val="2"/>
      </rPr>
      <t>12-Mar-
2026</t>
    </r>
  </si>
  <si>
    <r>
      <rPr>
        <i/>
        <sz val="9"/>
        <rFont val="Arial MT"/>
        <family val="2"/>
      </rPr>
      <t>15-Mar-
2026</t>
    </r>
  </si>
  <si>
    <r>
      <rPr>
        <i/>
        <sz val="9"/>
        <rFont val="Arial MT"/>
        <family val="2"/>
      </rPr>
      <t>16-Mar-
2026</t>
    </r>
  </si>
  <si>
    <r>
      <rPr>
        <i/>
        <sz val="9"/>
        <rFont val="Arial MT"/>
        <family val="2"/>
      </rPr>
      <t>17-Mar-
2026</t>
    </r>
  </si>
  <si>
    <r>
      <rPr>
        <i/>
        <sz val="9"/>
        <rFont val="Arial MT"/>
        <family val="2"/>
      </rPr>
      <t>19-Mar-
2026</t>
    </r>
  </si>
  <si>
    <r>
      <rPr>
        <i/>
        <sz val="9"/>
        <rFont val="Arial MT"/>
        <family val="2"/>
      </rPr>
      <t>20-Mar-
2026</t>
    </r>
  </si>
  <si>
    <r>
      <rPr>
        <i/>
        <sz val="9"/>
        <rFont val="Arial MT"/>
        <family val="2"/>
      </rPr>
      <t>23-Mar-
2026</t>
    </r>
  </si>
  <si>
    <r>
      <rPr>
        <i/>
        <sz val="9"/>
        <rFont val="Arial MT"/>
        <family val="2"/>
      </rPr>
      <t>25-Mar-
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</si>
</sst>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9">
    <font>
      <sz val="10"/>
      <color rgb="FF000000"/>
      <name val="Times New Roman"/>
      <charset val="204"/>
    </font>
    <font>
      <b/>
      <sz val="10"/>
      <name val="Arial"/>
    </font>
    <font>
      <sz val="9"/>
      <color rgb="FF000000"/>
      <name val="Arial MT"/>
      <family val="2"/>
    </font>
    <font>
      <sz val="9"/>
      <name val="Arial MT"/>
    </font>
    <font>
      <b/>
      <sz val="10"/>
      <name val="Arial"/>
      <family val="2"/>
    </font>
    <font>
      <sz val="9"/>
      <name val="Arial MT"/>
      <family val="2"/>
    </font>
    <font>
      <b/>
      <i/>
      <sz val="10"/>
      <name val="Arial"/>
      <family val="2"/>
    </font>
    <font>
      <i/>
      <sz val="9"/>
      <name val="Arial MT"/>
      <family val="2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4" fontId="6" fillId="0" borderId="2" xfId="0" applyNumberFormat="1" applyFont="1" applyBorder="1" applyAlignment="1">
      <alignment horizontal="left" vertical="top" wrapText="1" indent="2"/>
    </xf>
    <xf numFmtId="14" fontId="7" fillId="0" borderId="2" xfId="0" applyNumberFormat="1" applyFont="1" applyBorder="1" applyAlignment="1">
      <alignment horizontal="center" vertical="top" wrapText="1"/>
    </xf>
    <xf numFmtId="14" fontId="8" fillId="0" borderId="2" xfId="0" applyNumberFormat="1" applyFont="1" applyBorder="1" applyAlignment="1">
      <alignment horizontal="center" vertical="top" wrapText="1"/>
    </xf>
    <xf numFmtId="14" fontId="8" fillId="0" borderId="0" xfId="0" applyNumberFormat="1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N2" sqref="N2"/>
    </sheetView>
  </sheetViews>
  <sheetFormatPr defaultRowHeight="12.75"/>
  <cols>
    <col min="1" max="1" width="6.83203125" customWidth="1"/>
    <col min="2" max="2" width="12.6640625" customWidth="1"/>
    <col min="3" max="3" width="16" style="16" bestFit="1" customWidth="1"/>
    <col min="4" max="4" width="18.6640625" customWidth="1"/>
    <col min="5" max="5" width="12.6640625" customWidth="1"/>
    <col min="6" max="6" width="19.83203125" customWidth="1"/>
    <col min="7" max="7" width="9.33203125" customWidth="1"/>
    <col min="8" max="8" width="3.33203125" customWidth="1"/>
    <col min="9" max="10" width="12.6640625" customWidth="1"/>
    <col min="11" max="11" width="2.1640625" customWidth="1"/>
    <col min="12" max="12" width="5.83203125" customWidth="1"/>
    <col min="13" max="13" width="14" bestFit="1" customWidth="1"/>
    <col min="14" max="14" width="10.5" bestFit="1" customWidth="1"/>
  </cols>
  <sheetData>
    <row r="1" spans="1:14" ht="24" customHeight="1">
      <c r="A1" s="1" t="s">
        <v>0</v>
      </c>
      <c r="B1" s="2" t="s">
        <v>1</v>
      </c>
      <c r="C1" s="13" t="s">
        <v>74</v>
      </c>
      <c r="D1" s="2" t="s">
        <v>2</v>
      </c>
      <c r="E1" s="3" t="s">
        <v>3</v>
      </c>
      <c r="F1" s="1" t="s">
        <v>4</v>
      </c>
      <c r="G1" s="17" t="s">
        <v>5</v>
      </c>
      <c r="H1" s="18"/>
      <c r="I1" s="1" t="s">
        <v>6</v>
      </c>
      <c r="J1" s="4" t="s">
        <v>7</v>
      </c>
    </row>
    <row r="2" spans="1:14" ht="48.95" customHeight="1">
      <c r="A2" s="5">
        <v>1</v>
      </c>
      <c r="B2" s="6" t="s">
        <v>8</v>
      </c>
      <c r="C2" s="14" t="s">
        <v>73</v>
      </c>
      <c r="D2" s="8">
        <v>46083</v>
      </c>
      <c r="E2" s="9"/>
      <c r="F2" s="6" t="s">
        <v>9</v>
      </c>
      <c r="G2" s="19" t="s">
        <v>10</v>
      </c>
      <c r="H2" s="20"/>
      <c r="I2" s="10">
        <v>293190</v>
      </c>
      <c r="J2" s="10">
        <v>3105410.28</v>
      </c>
      <c r="M2" t="str">
        <f>TEXT(C2, "dd/mm/yyyy")</f>
        <v>02-Mar-
2026</v>
      </c>
      <c r="N2" t="str">
        <f>TEXT(D2, "dd/mm/yyyy")</f>
        <v>02/03/2026</v>
      </c>
    </row>
    <row r="3" spans="1:14" ht="39.950000000000003" customHeight="1">
      <c r="A3" s="5">
        <v>2</v>
      </c>
      <c r="B3" s="6" t="s">
        <v>11</v>
      </c>
      <c r="C3" s="15" t="s">
        <v>75</v>
      </c>
      <c r="D3" s="8">
        <v>46083</v>
      </c>
      <c r="E3" s="9"/>
      <c r="F3" s="6" t="s">
        <v>12</v>
      </c>
      <c r="G3" s="21">
        <v>1100104</v>
      </c>
      <c r="H3" s="22"/>
      <c r="I3" s="6" t="s">
        <v>10</v>
      </c>
      <c r="J3" s="10">
        <v>2005306.28</v>
      </c>
      <c r="N3" t="str">
        <f t="shared" ref="N3:N33" si="0">TEXT(D3, "dd/mm/yyyy")</f>
        <v>02/03/2026</v>
      </c>
    </row>
    <row r="4" spans="1:14" ht="39.950000000000003" customHeight="1">
      <c r="A4" s="5">
        <v>3</v>
      </c>
      <c r="B4" s="6" t="s">
        <v>13</v>
      </c>
      <c r="C4" s="15" t="s">
        <v>75</v>
      </c>
      <c r="D4" s="8">
        <v>46083</v>
      </c>
      <c r="E4" s="9"/>
      <c r="F4" s="7" t="s">
        <v>14</v>
      </c>
      <c r="G4" s="21">
        <v>25000</v>
      </c>
      <c r="H4" s="22"/>
      <c r="I4" s="6" t="s">
        <v>10</v>
      </c>
      <c r="J4" s="10">
        <v>1980306.28</v>
      </c>
      <c r="N4" t="str">
        <f t="shared" si="0"/>
        <v>02/03/2026</v>
      </c>
    </row>
    <row r="5" spans="1:14" ht="39.950000000000003" customHeight="1">
      <c r="A5" s="5">
        <v>4</v>
      </c>
      <c r="B5" s="6" t="s">
        <v>15</v>
      </c>
      <c r="C5" s="15" t="s">
        <v>75</v>
      </c>
      <c r="D5" s="8">
        <v>46083</v>
      </c>
      <c r="E5" s="9"/>
      <c r="F5" s="7" t="s">
        <v>16</v>
      </c>
      <c r="G5" s="21">
        <v>39598</v>
      </c>
      <c r="H5" s="22"/>
      <c r="I5" s="6" t="s">
        <v>10</v>
      </c>
      <c r="J5" s="10">
        <v>1940708.28</v>
      </c>
      <c r="N5" t="str">
        <f t="shared" si="0"/>
        <v>02/03/2026</v>
      </c>
    </row>
    <row r="6" spans="1:14" ht="30.95" customHeight="1">
      <c r="A6" s="5">
        <v>5</v>
      </c>
      <c r="B6" s="6" t="s">
        <v>17</v>
      </c>
      <c r="C6" s="15" t="s">
        <v>75</v>
      </c>
      <c r="D6" s="8">
        <v>46083</v>
      </c>
      <c r="E6" s="11"/>
      <c r="F6" s="9" t="s">
        <v>18</v>
      </c>
      <c r="G6" s="21">
        <v>266129</v>
      </c>
      <c r="H6" s="22"/>
      <c r="I6" s="6" t="s">
        <v>10</v>
      </c>
      <c r="J6" s="10">
        <v>1674579.28</v>
      </c>
      <c r="N6" t="str">
        <f t="shared" si="0"/>
        <v>02/03/2026</v>
      </c>
    </row>
    <row r="7" spans="1:14" ht="30.95" customHeight="1">
      <c r="A7" s="5">
        <v>6</v>
      </c>
      <c r="B7" s="6" t="s">
        <v>19</v>
      </c>
      <c r="C7" s="15" t="s">
        <v>76</v>
      </c>
      <c r="D7" s="8">
        <v>46084</v>
      </c>
      <c r="E7" s="11"/>
      <c r="F7" s="9" t="s">
        <v>20</v>
      </c>
      <c r="G7" s="21">
        <v>294005</v>
      </c>
      <c r="H7" s="22"/>
      <c r="I7" s="6" t="s">
        <v>10</v>
      </c>
      <c r="J7" s="10">
        <v>1380574.28</v>
      </c>
      <c r="N7" t="str">
        <f t="shared" si="0"/>
        <v>03/03/2026</v>
      </c>
    </row>
    <row r="8" spans="1:14" ht="48.95" customHeight="1">
      <c r="A8" s="5">
        <v>7</v>
      </c>
      <c r="B8" s="6" t="s">
        <v>21</v>
      </c>
      <c r="C8" s="15" t="s">
        <v>77</v>
      </c>
      <c r="D8" s="8">
        <v>46086</v>
      </c>
      <c r="E8" s="9"/>
      <c r="F8" s="6" t="s">
        <v>22</v>
      </c>
      <c r="G8" s="19" t="s">
        <v>10</v>
      </c>
      <c r="H8" s="20"/>
      <c r="I8" s="10">
        <v>1575780</v>
      </c>
      <c r="J8" s="10">
        <v>2956354.28</v>
      </c>
      <c r="N8" t="str">
        <f t="shared" si="0"/>
        <v>05/03/2026</v>
      </c>
    </row>
    <row r="9" spans="1:14" ht="39.950000000000003" customHeight="1">
      <c r="A9" s="5">
        <v>8</v>
      </c>
      <c r="B9" s="6" t="s">
        <v>23</v>
      </c>
      <c r="C9" s="15" t="s">
        <v>77</v>
      </c>
      <c r="D9" s="8">
        <v>46086</v>
      </c>
      <c r="E9" s="9"/>
      <c r="F9" s="7" t="s">
        <v>24</v>
      </c>
      <c r="G9" s="21">
        <v>40000</v>
      </c>
      <c r="H9" s="22"/>
      <c r="I9" s="6" t="s">
        <v>10</v>
      </c>
      <c r="J9" s="10">
        <v>2916354.28</v>
      </c>
      <c r="N9" t="str">
        <f t="shared" si="0"/>
        <v>05/03/2026</v>
      </c>
    </row>
    <row r="10" spans="1:14" ht="48.95" customHeight="1">
      <c r="A10" s="5">
        <v>9</v>
      </c>
      <c r="B10" s="6" t="s">
        <v>25</v>
      </c>
      <c r="C10" s="15" t="s">
        <v>78</v>
      </c>
      <c r="D10" s="8">
        <v>46087</v>
      </c>
      <c r="E10" s="9"/>
      <c r="F10" s="6" t="s">
        <v>26</v>
      </c>
      <c r="G10" s="19" t="s">
        <v>10</v>
      </c>
      <c r="H10" s="20"/>
      <c r="I10" s="10">
        <v>324075</v>
      </c>
      <c r="J10" s="10">
        <v>3240429.28</v>
      </c>
      <c r="N10" t="str">
        <f t="shared" si="0"/>
        <v>06/03/2026</v>
      </c>
    </row>
    <row r="11" spans="1:14" ht="30.95" customHeight="1">
      <c r="A11" s="5">
        <v>10</v>
      </c>
      <c r="B11" s="6" t="s">
        <v>27</v>
      </c>
      <c r="C11" s="15" t="s">
        <v>79</v>
      </c>
      <c r="D11" s="8">
        <v>46089</v>
      </c>
      <c r="E11" s="11"/>
      <c r="F11" s="7" t="s">
        <v>28</v>
      </c>
      <c r="G11" s="21">
        <v>92.7</v>
      </c>
      <c r="H11" s="22"/>
      <c r="I11" s="6" t="s">
        <v>10</v>
      </c>
      <c r="J11" s="10">
        <v>3240336.58</v>
      </c>
      <c r="N11" t="str">
        <f t="shared" si="0"/>
        <v>08/03/2026</v>
      </c>
    </row>
    <row r="12" spans="1:14" ht="48.95" customHeight="1">
      <c r="A12" s="5">
        <v>11</v>
      </c>
      <c r="B12" s="6" t="s">
        <v>29</v>
      </c>
      <c r="C12" s="15" t="s">
        <v>80</v>
      </c>
      <c r="D12" s="8">
        <v>46090</v>
      </c>
      <c r="E12" s="9"/>
      <c r="F12" s="7" t="s">
        <v>30</v>
      </c>
      <c r="G12" s="19" t="s">
        <v>10</v>
      </c>
      <c r="H12" s="20"/>
      <c r="I12" s="10">
        <v>505674</v>
      </c>
      <c r="J12" s="10">
        <v>3746010.58</v>
      </c>
      <c r="N12" t="str">
        <f t="shared" si="0"/>
        <v>09/03/2026</v>
      </c>
    </row>
    <row r="13" spans="1:14" ht="39.950000000000003" customHeight="1">
      <c r="A13" s="5">
        <v>12</v>
      </c>
      <c r="B13" s="6" t="s">
        <v>31</v>
      </c>
      <c r="C13" s="15" t="s">
        <v>80</v>
      </c>
      <c r="D13" s="8">
        <v>46090</v>
      </c>
      <c r="E13" s="9"/>
      <c r="F13" s="7" t="s">
        <v>32</v>
      </c>
      <c r="G13" s="19" t="s">
        <v>10</v>
      </c>
      <c r="H13" s="20"/>
      <c r="I13" s="10">
        <v>412882</v>
      </c>
      <c r="J13" s="10">
        <v>4158892.58</v>
      </c>
      <c r="N13" t="str">
        <f t="shared" si="0"/>
        <v>09/03/2026</v>
      </c>
    </row>
    <row r="14" spans="1:14" ht="39.950000000000003" customHeight="1">
      <c r="A14" s="5">
        <v>13</v>
      </c>
      <c r="B14" s="6" t="s">
        <v>33</v>
      </c>
      <c r="C14" s="15" t="s">
        <v>81</v>
      </c>
      <c r="D14" s="8">
        <v>46091</v>
      </c>
      <c r="E14" s="9"/>
      <c r="F14" s="7" t="s">
        <v>34</v>
      </c>
      <c r="G14" s="21">
        <v>1060</v>
      </c>
      <c r="H14" s="22"/>
      <c r="I14" s="6" t="s">
        <v>10</v>
      </c>
      <c r="J14" s="10">
        <v>4157832.58</v>
      </c>
      <c r="N14" t="str">
        <f t="shared" si="0"/>
        <v>10/03/2026</v>
      </c>
    </row>
    <row r="15" spans="1:14" ht="39.950000000000003" customHeight="1">
      <c r="A15" s="5">
        <v>14</v>
      </c>
      <c r="B15" s="6" t="s">
        <v>35</v>
      </c>
      <c r="C15" s="15" t="s">
        <v>81</v>
      </c>
      <c r="D15" s="8">
        <v>46091</v>
      </c>
      <c r="E15" s="9"/>
      <c r="F15" s="7" t="s">
        <v>36</v>
      </c>
      <c r="G15" s="21">
        <v>150000</v>
      </c>
      <c r="H15" s="22"/>
      <c r="I15" s="6" t="s">
        <v>10</v>
      </c>
      <c r="J15" s="10">
        <v>4007832.58</v>
      </c>
      <c r="N15" t="str">
        <f t="shared" si="0"/>
        <v>10/03/2026</v>
      </c>
    </row>
    <row r="16" spans="1:14" ht="30.95" customHeight="1">
      <c r="A16" s="5">
        <v>15</v>
      </c>
      <c r="B16" s="6" t="s">
        <v>37</v>
      </c>
      <c r="C16" s="15" t="s">
        <v>82</v>
      </c>
      <c r="D16" s="8">
        <v>46092</v>
      </c>
      <c r="E16" s="11"/>
      <c r="F16" s="9" t="s">
        <v>38</v>
      </c>
      <c r="G16" s="21">
        <v>10000</v>
      </c>
      <c r="H16" s="22"/>
      <c r="I16" s="6" t="s">
        <v>10</v>
      </c>
      <c r="J16" s="10">
        <v>3997832.58</v>
      </c>
      <c r="N16" t="str">
        <f t="shared" si="0"/>
        <v>11/03/2026</v>
      </c>
    </row>
    <row r="17" spans="1:14" ht="57.95" customHeight="1">
      <c r="A17" s="5">
        <v>16</v>
      </c>
      <c r="B17" s="6" t="s">
        <v>39</v>
      </c>
      <c r="C17" s="15" t="s">
        <v>83</v>
      </c>
      <c r="D17" s="8">
        <v>46093</v>
      </c>
      <c r="E17" s="9"/>
      <c r="F17" s="6" t="s">
        <v>40</v>
      </c>
      <c r="G17" s="19" t="s">
        <v>10</v>
      </c>
      <c r="H17" s="20"/>
      <c r="I17" s="10">
        <v>335820</v>
      </c>
      <c r="J17" s="10">
        <v>4333652.58</v>
      </c>
      <c r="N17" t="str">
        <f t="shared" si="0"/>
        <v>12/03/2026</v>
      </c>
    </row>
    <row r="18" spans="1:14" ht="39.950000000000003" customHeight="1">
      <c r="A18" s="5">
        <v>17</v>
      </c>
      <c r="B18" s="6" t="s">
        <v>41</v>
      </c>
      <c r="C18" s="15" t="s">
        <v>83</v>
      </c>
      <c r="D18" s="8">
        <v>46093</v>
      </c>
      <c r="E18" s="9"/>
      <c r="F18" s="6" t="s">
        <v>42</v>
      </c>
      <c r="G18" s="21">
        <v>445637</v>
      </c>
      <c r="H18" s="22"/>
      <c r="I18" s="6" t="s">
        <v>10</v>
      </c>
      <c r="J18" s="10">
        <v>3888015.58</v>
      </c>
      <c r="N18" t="str">
        <f t="shared" si="0"/>
        <v>12/03/2026</v>
      </c>
    </row>
    <row r="19" spans="1:14" ht="30.95" customHeight="1">
      <c r="A19" s="5">
        <v>18</v>
      </c>
      <c r="B19" s="6" t="s">
        <v>43</v>
      </c>
      <c r="C19" s="15" t="s">
        <v>84</v>
      </c>
      <c r="D19" s="8">
        <v>46096</v>
      </c>
      <c r="E19" s="11"/>
      <c r="F19" s="7" t="s">
        <v>44</v>
      </c>
      <c r="G19" s="21">
        <v>7261.2</v>
      </c>
      <c r="H19" s="22"/>
      <c r="I19" s="6" t="s">
        <v>10</v>
      </c>
      <c r="J19" s="10">
        <v>3880754.38</v>
      </c>
      <c r="N19" t="str">
        <f t="shared" si="0"/>
        <v>15/03/2026</v>
      </c>
    </row>
    <row r="20" spans="1:14" ht="48.95" customHeight="1">
      <c r="A20" s="5">
        <v>19</v>
      </c>
      <c r="B20" s="6" t="s">
        <v>45</v>
      </c>
      <c r="C20" s="15" t="s">
        <v>85</v>
      </c>
      <c r="D20" s="8">
        <v>46097</v>
      </c>
      <c r="E20" s="9"/>
      <c r="F20" s="6" t="s">
        <v>46</v>
      </c>
      <c r="G20" s="19" t="s">
        <v>10</v>
      </c>
      <c r="H20" s="20"/>
      <c r="I20" s="10">
        <v>208954</v>
      </c>
      <c r="J20" s="10">
        <v>4089708.38</v>
      </c>
      <c r="N20" t="str">
        <f t="shared" si="0"/>
        <v>16/03/2026</v>
      </c>
    </row>
    <row r="21" spans="1:14" ht="48.95" customHeight="1">
      <c r="A21" s="5">
        <v>20</v>
      </c>
      <c r="B21" s="6" t="s">
        <v>47</v>
      </c>
      <c r="C21" s="15" t="s">
        <v>85</v>
      </c>
      <c r="D21" s="8">
        <v>46097</v>
      </c>
      <c r="E21" s="9"/>
      <c r="F21" s="6" t="s">
        <v>48</v>
      </c>
      <c r="G21" s="19" t="s">
        <v>10</v>
      </c>
      <c r="H21" s="20"/>
      <c r="I21" s="10">
        <v>3753</v>
      </c>
      <c r="J21" s="10">
        <v>4093461.38</v>
      </c>
      <c r="N21" t="str">
        <f t="shared" si="0"/>
        <v>16/03/2026</v>
      </c>
    </row>
    <row r="22" spans="1:14" ht="39.950000000000003" customHeight="1">
      <c r="A22" s="5">
        <v>21</v>
      </c>
      <c r="B22" s="6" t="s">
        <v>49</v>
      </c>
      <c r="C22" s="15" t="s">
        <v>86</v>
      </c>
      <c r="D22" s="8">
        <v>46098</v>
      </c>
      <c r="E22" s="9"/>
      <c r="F22" s="6" t="s">
        <v>50</v>
      </c>
      <c r="G22" s="19" t="s">
        <v>10</v>
      </c>
      <c r="H22" s="20"/>
      <c r="I22" s="10">
        <v>71366</v>
      </c>
      <c r="J22" s="10">
        <v>4164827.38</v>
      </c>
      <c r="N22" t="str">
        <f t="shared" si="0"/>
        <v>17/03/2026</v>
      </c>
    </row>
    <row r="23" spans="1:14" ht="39.950000000000003" customHeight="1">
      <c r="A23" s="5">
        <v>22</v>
      </c>
      <c r="B23" s="6" t="s">
        <v>51</v>
      </c>
      <c r="C23" s="15" t="s">
        <v>87</v>
      </c>
      <c r="D23" s="8">
        <v>46100</v>
      </c>
      <c r="E23" s="9"/>
      <c r="F23" s="6" t="s">
        <v>52</v>
      </c>
      <c r="G23" s="21">
        <v>1000000</v>
      </c>
      <c r="H23" s="22"/>
      <c r="I23" s="6" t="s">
        <v>10</v>
      </c>
      <c r="J23" s="10">
        <v>3164827.38</v>
      </c>
      <c r="N23" t="str">
        <f t="shared" si="0"/>
        <v>19/03/2026</v>
      </c>
    </row>
    <row r="24" spans="1:14" ht="39.950000000000003" customHeight="1">
      <c r="A24" s="5">
        <v>23</v>
      </c>
      <c r="B24" s="6" t="s">
        <v>53</v>
      </c>
      <c r="C24" s="15" t="s">
        <v>87</v>
      </c>
      <c r="D24" s="8">
        <v>46100</v>
      </c>
      <c r="E24" s="9"/>
      <c r="F24" s="7" t="s">
        <v>54</v>
      </c>
      <c r="G24" s="21">
        <v>2000</v>
      </c>
      <c r="H24" s="22"/>
      <c r="I24" s="6" t="s">
        <v>10</v>
      </c>
      <c r="J24" s="10">
        <v>3162827.38</v>
      </c>
      <c r="N24" t="str">
        <f t="shared" si="0"/>
        <v>19/03/2026</v>
      </c>
    </row>
    <row r="25" spans="1:14" ht="39.950000000000003" customHeight="1">
      <c r="A25" s="5">
        <v>24</v>
      </c>
      <c r="B25" s="6" t="s">
        <v>55</v>
      </c>
      <c r="C25" s="15" t="s">
        <v>87</v>
      </c>
      <c r="D25" s="8">
        <v>46100</v>
      </c>
      <c r="E25" s="9"/>
      <c r="F25" s="7" t="s">
        <v>56</v>
      </c>
      <c r="G25" s="21">
        <v>20987</v>
      </c>
      <c r="H25" s="22"/>
      <c r="I25" s="6" t="s">
        <v>10</v>
      </c>
      <c r="J25" s="10">
        <v>3141840.38</v>
      </c>
      <c r="N25" t="str">
        <f t="shared" si="0"/>
        <v>19/03/2026</v>
      </c>
    </row>
    <row r="26" spans="1:14" ht="39.950000000000003" customHeight="1">
      <c r="A26" s="5">
        <v>25</v>
      </c>
      <c r="B26" s="6" t="s">
        <v>57</v>
      </c>
      <c r="C26" s="15" t="s">
        <v>88</v>
      </c>
      <c r="D26" s="8">
        <v>46101</v>
      </c>
      <c r="E26" s="9"/>
      <c r="F26" s="7" t="s">
        <v>58</v>
      </c>
      <c r="G26" s="19" t="s">
        <v>10</v>
      </c>
      <c r="H26" s="20"/>
      <c r="I26" s="10">
        <v>150751</v>
      </c>
      <c r="J26" s="10">
        <v>3292591.38</v>
      </c>
      <c r="N26" t="str">
        <f t="shared" si="0"/>
        <v>20/03/2026</v>
      </c>
    </row>
    <row r="27" spans="1:14" ht="48.95" customHeight="1">
      <c r="A27" s="5">
        <v>26</v>
      </c>
      <c r="B27" s="6" t="s">
        <v>59</v>
      </c>
      <c r="C27" s="15" t="s">
        <v>89</v>
      </c>
      <c r="D27" s="8">
        <v>46104</v>
      </c>
      <c r="E27" s="9"/>
      <c r="F27" s="6" t="s">
        <v>60</v>
      </c>
      <c r="G27" s="19" t="s">
        <v>10</v>
      </c>
      <c r="H27" s="20"/>
      <c r="I27" s="10">
        <v>341910</v>
      </c>
      <c r="J27" s="10">
        <v>3634501.38</v>
      </c>
      <c r="N27" t="str">
        <f t="shared" si="0"/>
        <v>23/03/2026</v>
      </c>
    </row>
    <row r="28" spans="1:14" ht="39.950000000000003" customHeight="1">
      <c r="A28" s="5">
        <v>27</v>
      </c>
      <c r="B28" s="6" t="s">
        <v>61</v>
      </c>
      <c r="C28" s="15" t="s">
        <v>89</v>
      </c>
      <c r="D28" s="8">
        <v>46104</v>
      </c>
      <c r="E28" s="9"/>
      <c r="F28" s="7" t="s">
        <v>62</v>
      </c>
      <c r="G28" s="21">
        <v>5000</v>
      </c>
      <c r="H28" s="22"/>
      <c r="I28" s="6" t="s">
        <v>10</v>
      </c>
      <c r="J28" s="10">
        <v>3629501.38</v>
      </c>
      <c r="N28" t="str">
        <f t="shared" si="0"/>
        <v>23/03/2026</v>
      </c>
    </row>
    <row r="29" spans="1:14" ht="39.950000000000003" customHeight="1">
      <c r="A29" s="5">
        <v>28</v>
      </c>
      <c r="B29" s="6" t="s">
        <v>63</v>
      </c>
      <c r="C29" s="15" t="s">
        <v>89</v>
      </c>
      <c r="D29" s="8">
        <v>46104</v>
      </c>
      <c r="E29" s="9"/>
      <c r="F29" s="7" t="s">
        <v>64</v>
      </c>
      <c r="G29" s="21">
        <v>5000</v>
      </c>
      <c r="H29" s="22"/>
      <c r="I29" s="6" t="s">
        <v>10</v>
      </c>
      <c r="J29" s="10">
        <v>3624501.38</v>
      </c>
      <c r="N29" t="str">
        <f t="shared" si="0"/>
        <v>23/03/2026</v>
      </c>
    </row>
    <row r="30" spans="1:14" ht="39.950000000000003" customHeight="1">
      <c r="A30" s="5">
        <v>29</v>
      </c>
      <c r="B30" s="6" t="s">
        <v>65</v>
      </c>
      <c r="C30" s="15" t="s">
        <v>89</v>
      </c>
      <c r="D30" s="8">
        <v>46104</v>
      </c>
      <c r="E30" s="9"/>
      <c r="F30" s="7" t="s">
        <v>66</v>
      </c>
      <c r="G30" s="21">
        <v>5000</v>
      </c>
      <c r="H30" s="22"/>
      <c r="I30" s="6" t="s">
        <v>10</v>
      </c>
      <c r="J30" s="10">
        <v>3619501.38</v>
      </c>
      <c r="N30" t="str">
        <f t="shared" si="0"/>
        <v>23/03/2026</v>
      </c>
    </row>
    <row r="31" spans="1:14" ht="39.6" customHeight="1">
      <c r="A31" s="5">
        <v>30</v>
      </c>
      <c r="B31" s="6" t="s">
        <v>67</v>
      </c>
      <c r="C31" s="15" t="s">
        <v>89</v>
      </c>
      <c r="D31" s="8">
        <v>46104</v>
      </c>
      <c r="E31" s="9"/>
      <c r="F31" s="7" t="s">
        <v>68</v>
      </c>
      <c r="G31" s="21">
        <v>5000</v>
      </c>
      <c r="H31" s="22"/>
      <c r="I31" s="6" t="s">
        <v>10</v>
      </c>
      <c r="J31" s="10">
        <v>3614501.38</v>
      </c>
      <c r="K31" s="23"/>
      <c r="L31" s="23"/>
      <c r="N31" t="str">
        <f t="shared" si="0"/>
        <v>23/03/2026</v>
      </c>
    </row>
    <row r="32" spans="1:14" ht="48.95" customHeight="1">
      <c r="A32" s="5">
        <v>31</v>
      </c>
      <c r="B32" s="6" t="s">
        <v>69</v>
      </c>
      <c r="C32" s="15" t="s">
        <v>89</v>
      </c>
      <c r="D32" s="8">
        <v>46104</v>
      </c>
      <c r="E32" s="9"/>
      <c r="F32" s="7" t="s">
        <v>70</v>
      </c>
      <c r="G32" s="19" t="s">
        <v>10</v>
      </c>
      <c r="H32" s="20"/>
      <c r="I32" s="10">
        <v>400000</v>
      </c>
      <c r="J32" s="10">
        <v>4014501.38</v>
      </c>
      <c r="K32" s="23"/>
      <c r="L32" s="23"/>
      <c r="N32" t="str">
        <f t="shared" si="0"/>
        <v>23/03/2026</v>
      </c>
    </row>
    <row r="33" spans="1:14" ht="25.5" customHeight="1">
      <c r="A33" s="5">
        <v>32</v>
      </c>
      <c r="B33" s="6" t="s">
        <v>71</v>
      </c>
      <c r="C33" s="15" t="s">
        <v>90</v>
      </c>
      <c r="D33" s="8">
        <v>46106</v>
      </c>
      <c r="E33" s="11"/>
      <c r="F33" s="12" t="s">
        <v>72</v>
      </c>
      <c r="G33" s="21">
        <v>3900000</v>
      </c>
      <c r="H33" s="22"/>
      <c r="I33" s="6" t="s">
        <v>10</v>
      </c>
      <c r="J33" s="10">
        <v>114501.38</v>
      </c>
      <c r="K33" s="24"/>
      <c r="L33" s="24"/>
      <c r="N33" t="str">
        <f t="shared" si="0"/>
        <v>25/03/2026</v>
      </c>
    </row>
  </sheetData>
  <mergeCells count="36">
    <mergeCell ref="G26:H26"/>
    <mergeCell ref="G27:H27"/>
    <mergeCell ref="G32:H32"/>
    <mergeCell ref="K32:L32"/>
    <mergeCell ref="G33:H33"/>
    <mergeCell ref="K33:L33"/>
    <mergeCell ref="G28:H28"/>
    <mergeCell ref="G29:H29"/>
    <mergeCell ref="G30:H30"/>
    <mergeCell ref="G31:H31"/>
    <mergeCell ref="K31:L31"/>
    <mergeCell ref="G21:H21"/>
    <mergeCell ref="G22:H22"/>
    <mergeCell ref="G23:H23"/>
    <mergeCell ref="G24:H24"/>
    <mergeCell ref="G25:H25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G6:H6"/>
    <mergeCell ref="G7:H7"/>
    <mergeCell ref="G8:H8"/>
    <mergeCell ref="G9:H9"/>
    <mergeCell ref="G10:H10"/>
    <mergeCell ref="G1:H1"/>
    <mergeCell ref="G2:H2"/>
    <mergeCell ref="G3:H3"/>
    <mergeCell ref="G4:H4"/>
    <mergeCell ref="G5:H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2026-03-26T05:09:53Z</dcterms:created>
  <dcterms:modified xsi:type="dcterms:W3CDTF">2026-05-04T12:27:52Z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2026-03-26T00:00:00Z</vt:filetime>
  </property>
  <property fmtid="{D5CDD505-2E9C-101B-9397-08002B2CF9AE}" pid="3" name="LastSaved">
    <vt:filetime>2026-03-26T00:00:00Z</vt:filetime>
  </property>
  <property fmtid="{D5CDD505-2E9C-101B-9397-08002B2CF9AE}" pid="4" name="Producer">
    <vt:lpwstr>iText 2.1.7 by 1T3XT</vt:lpwstr>
  </property>
</Properties>
</file>