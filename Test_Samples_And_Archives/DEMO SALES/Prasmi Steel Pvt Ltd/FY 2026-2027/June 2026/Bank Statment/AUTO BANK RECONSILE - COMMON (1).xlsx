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6-2027/June 2026/Bank Statment/"/>
    </mc:Choice>
  </mc:AlternateContent>
  <xr:revisionPtr revIDLastSave="15" documentId="14_{E94158BF-AA7A-409D-91CD-F01958C1CF3A}" xr6:coauthVersionLast="47" xr6:coauthVersionMax="47" xr10:uidLastSave="{B5C5FB5C-9517-4937-850C-CD77F8EE52B4}"/>
  <bookViews>
    <workbookView xWindow="-120" yWindow="-120" windowWidth="29040" windowHeight="15720" xr2:uid="{0C256DF3-FA58-4F89-9EE4-831C072FF6B8}"/>
  </bookViews>
  <sheets>
    <sheet name="Sheet1" sheetId="1" r:id="rId1"/>
    <sheet name="Sheet3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8" i="1"/>
  <c r="L29" i="1"/>
  <c r="L30" i="1"/>
  <c r="L31" i="1"/>
  <c r="L32" i="1"/>
  <c r="L33" i="1"/>
  <c r="L34" i="1"/>
  <c r="L35" i="1"/>
  <c r="L36" i="1"/>
  <c r="P27" i="1"/>
  <c r="P26" i="1"/>
  <c r="P25" i="1"/>
  <c r="P24" i="1"/>
  <c r="P23" i="1"/>
  <c r="P22" i="1"/>
  <c r="P21" i="1"/>
  <c r="L23" i="1"/>
  <c r="L22" i="1"/>
  <c r="L17" i="1"/>
  <c r="L16" i="1"/>
  <c r="L11" i="1"/>
  <c r="L10" i="1"/>
  <c r="L8" i="1"/>
  <c r="L9" i="1"/>
  <c r="L12" i="1"/>
  <c r="L13" i="1"/>
  <c r="L14" i="1"/>
  <c r="L15" i="1"/>
  <c r="L18" i="1"/>
  <c r="L19" i="1"/>
  <c r="L20" i="1"/>
  <c r="L21" i="1"/>
  <c r="L24" i="1"/>
  <c r="L25" i="1"/>
  <c r="L26" i="1"/>
  <c r="L27" i="1"/>
  <c r="L3" i="1"/>
</calcChain>
</file>

<file path=xl/sharedStrings.xml><?xml version="1.0" encoding="utf-8"?>
<sst xmlns="http://schemas.openxmlformats.org/spreadsheetml/2006/main" count="336" uniqueCount="109">
  <si>
    <t>SR NO</t>
  </si>
  <si>
    <t>Tran Date</t>
  </si>
  <si>
    <t>Rec. Date</t>
  </si>
  <si>
    <t>CHQNO</t>
  </si>
  <si>
    <t>PARTICULARS</t>
  </si>
  <si>
    <t>WITHDRAWL</t>
  </si>
  <si>
    <t>DEPOSIT</t>
  </si>
  <si>
    <t>A/c Name</t>
  </si>
  <si>
    <t>Bank Name</t>
  </si>
  <si>
    <t>15/05/2025</t>
  </si>
  <si>
    <t>03/06/2025</t>
  </si>
  <si>
    <t>18/06/2025</t>
  </si>
  <si>
    <t>26/06/2025</t>
  </si>
  <si>
    <t>30/06/2025</t>
  </si>
  <si>
    <t>01/07/2025</t>
  </si>
  <si>
    <t>02/07/2025</t>
  </si>
  <si>
    <t>04/07/2025</t>
  </si>
  <si>
    <t>05/08/2025</t>
  </si>
  <si>
    <t>21/08/2025</t>
  </si>
  <si>
    <t>25/08/2025</t>
  </si>
  <si>
    <t>29/08/2025</t>
  </si>
  <si>
    <t>30/09/2025</t>
  </si>
  <si>
    <t>13/10/2025</t>
  </si>
  <si>
    <t>06/11/2025</t>
  </si>
  <si>
    <t>27/11/2025</t>
  </si>
  <si>
    <t>01/12/2025</t>
  </si>
  <si>
    <t>05/12/2025</t>
  </si>
  <si>
    <t>31/12/2025</t>
  </si>
  <si>
    <t>23/03/2026</t>
  </si>
  <si>
    <t>24/03/2026</t>
  </si>
  <si>
    <t>30/03/2026</t>
  </si>
  <si>
    <t>A/c Name (Miracle Ledger Name)</t>
  </si>
  <si>
    <t>Cash Account</t>
  </si>
  <si>
    <t>Account Profile Master Summary:</t>
  </si>
  <si>
    <r>
      <t>Account Owner Corporate Name:</t>
    </r>
    <r>
      <rPr>
        <sz val="11"/>
        <color theme="1"/>
        <rFont val="Calibri"/>
        <family val="2"/>
        <scheme val="minor"/>
      </rPr>
      <t xml:space="preserve"> SANJAY GOVINDBHAI TILALA HUF</t>
    </r>
  </si>
  <si>
    <r>
      <t>Bank details:</t>
    </r>
    <r>
      <rPr>
        <sz val="11"/>
        <color theme="1"/>
        <rFont val="Calibri"/>
        <family val="2"/>
        <scheme val="minor"/>
      </rPr>
      <t xml:space="preserve"> ICICI BANK LIMITED, Village Bedi Branch, Rajkot</t>
    </r>
  </si>
  <si>
    <r>
      <t>Operating Account Number:</t>
    </r>
    <r>
      <rPr>
        <sz val="11"/>
        <color theme="1"/>
        <rFont val="Calibri"/>
        <family val="2"/>
        <scheme val="minor"/>
      </rPr>
      <t xml:space="preserve"> 349501000425</t>
    </r>
  </si>
  <si>
    <r>
      <t>Final Statement Closing Balance:</t>
    </r>
    <r>
      <rPr>
        <sz val="11"/>
        <color theme="1"/>
        <rFont val="Calibri"/>
        <family val="2"/>
        <scheme val="minor"/>
      </rPr>
      <t xml:space="preserve"> 15,474.59</t>
    </r>
  </si>
  <si>
    <t>ICICI BANK LIMITED</t>
  </si>
  <si>
    <t>MMT/IMPS/615300671876/Charges PSIC/AlexPSIC/HDFC000</t>
  </si>
  <si>
    <t>UPI/109929475227/HSSCUTTINGTOOLS/8320942578@axV/A</t>
  </si>
  <si>
    <t>MMT/IMPS/615320857305/Tractor Transpor/SANJYTRACT/K</t>
  </si>
  <si>
    <t>MMT/IMPS/615416660034/CounterLabour/MithaiLoth/IDI</t>
  </si>
  <si>
    <t>RTGS-UTIBR62026060481312542-KIASON METAL CAST PRIV</t>
  </si>
  <si>
    <t>Kiason Metal Cast Private Limited</t>
  </si>
  <si>
    <t>UPI/109945742424/LakdaFachra56kg/bhaivinu517@oki//</t>
  </si>
  <si>
    <t>CASH PAID:SELF 0728 RAJKOT 1</t>
  </si>
  <si>
    <t>UPI/109954663099/HardwareItems/pratikvala103-1//IC</t>
  </si>
  <si>
    <t>UPI/109956338543/ScrapLoading Cha/manojko7463-1@o//</t>
  </si>
  <si>
    <t>UPI/109959586936WeightbridgeChα/8769699683-2@ib//</t>
  </si>
  <si>
    <t>Weightbridge Charges</t>
  </si>
  <si>
    <t>NEFT-CBINH26158451324-REVOLVING TECHNO CAST-ATTNSC</t>
  </si>
  <si>
    <t>MMT/IMPS/615913373204/PurchaseGT21/Omnilndust/KKBK</t>
  </si>
  <si>
    <t>MMT/IMPS/616010072017/SalaryMay26Mithai/Loth/IDIBO</t>
  </si>
  <si>
    <t>MMT/IMPS/616010073510/SalaryMay26/keshavlabo/IDIBO</t>
  </si>
  <si>
    <t>CASH PAID:SELF 2614 SHAPAR - VERAVAL</t>
  </si>
  <si>
    <t>MMT/IMPS/616014653920/SalaryMay26/PINTULOTHA/IDIB0</t>
  </si>
  <si>
    <t>RTGS-UTIBR62026060982398707-KIASON METAL CAST PRIV</t>
  </si>
  <si>
    <t>MMT/IMPS/61214975193/Diesel3323/KP/IDFB0042434</t>
  </si>
  <si>
    <t>UPI/109996539458/rjkt TOpiplanaTr/rameshbharbad65//</t>
  </si>
  <si>
    <t>UPI/110013523071/HSSCUTTINGTOOLS/8320942578@axVA</t>
  </si>
  <si>
    <t>NEFT-KKBKH26165680881-KRUPA METAL-PAYMENT-79128995</t>
  </si>
  <si>
    <t>Krupa Metal</t>
  </si>
  <si>
    <t>MMT/IMPS/616608913119/PurchaseGT22/Omnilndust/KKBK</t>
  </si>
  <si>
    <t>UPI/110026167100/CarbideSolder/arvindtilala28@//IC</t>
  </si>
  <si>
    <t>NEFT-AXISP00808740379-SHREE RAJ CASTECH PRIVATE LI</t>
  </si>
  <si>
    <t>Shree Raj Castech Private Limited</t>
  </si>
  <si>
    <t>MMT/IMPS/616808775354/TDSpayment/JYJandCo/KKBK0002</t>
  </si>
  <si>
    <t>NEFT-HDFCH01067507946-IQRA ENTERPRISE-0001GST TDS-</t>
  </si>
  <si>
    <t>NEFT-CBINH26169624945-REVOLVING TECHNO CAST-ATTNSC</t>
  </si>
  <si>
    <t>MMT/IMPS/616913304635/PurchaseGT90/Mahavirste/KKBK</t>
  </si>
  <si>
    <t>UPI/110054854276WeighBridgCharg/rameshpasvan828//</t>
  </si>
  <si>
    <t>UPI/110055126253/Hsscuttingtools/8320942578@axis//</t>
  </si>
  <si>
    <t>RTGS-UTIBR62026062285040600-KIASON METAL CAST PRIV</t>
  </si>
  <si>
    <t>MMT/IMPS/617409959595/Advance June26MithaiLoth/IDI</t>
  </si>
  <si>
    <t>MMT/IMPS/617409960904/Advance June26/manoharlab/IDI</t>
  </si>
  <si>
    <t>MMT/IMPS/617409962654/Advance June26/PINTULOTHA/IDI</t>
  </si>
  <si>
    <t>MMT/IMPS/61751196499/Advance June26/PINTULOTHA/IDI</t>
  </si>
  <si>
    <t>MMT/IMPS/617610767172/Purchase GT53and/DEEPJYOTEN/H</t>
  </si>
  <si>
    <t>UPI/110083667727/Tractor Transpor/q423612482@ybl//l</t>
  </si>
  <si>
    <t>UPI/110088841690/Tractor Transpor/rameshpasvan828//</t>
  </si>
  <si>
    <t>BY CASH - RAJKOT 1 SELF</t>
  </si>
  <si>
    <t>INF/NEFT/IN42617758524323/HDFC0005875/PurchaseNK93</t>
  </si>
  <si>
    <t>RTGS-KKBKR52026062600829338-KRUPA METAL-7912899555</t>
  </si>
  <si>
    <t>MMT/IMPS/617815631661/Purchase NK93/NKIMPEX/HDFCO00</t>
  </si>
  <si>
    <t>UPI/110097088531/AdvancePunchojabharatma/kwana22//</t>
  </si>
  <si>
    <t>MMT/IMPS/617908503631/Purchase GT99/Mahavirste/KKBK</t>
  </si>
  <si>
    <t>UPI/110105913728/Diesel3323/q397163563@ybl//ICIfee</t>
  </si>
  <si>
    <t>BIL/ONL/001221167431/Reliance R/Jio WIFI</t>
  </si>
  <si>
    <t>INF/INFT/044935460391/madhavtoprasmis/MADHAV ENTER</t>
  </si>
  <si>
    <t>Madhav Enterprise</t>
  </si>
  <si>
    <t>MMT/IMPS/18112350745/Loading Unloadin/PINTULOTHA/</t>
  </si>
  <si>
    <t>SUSPENSE</t>
  </si>
  <si>
    <t>Cutting Equipments</t>
  </si>
  <si>
    <t>Transportation Chrarges</t>
  </si>
  <si>
    <t>Labour Exp.</t>
  </si>
  <si>
    <t>Tools Purchase A/c</t>
  </si>
  <si>
    <t>Loading Expense</t>
  </si>
  <si>
    <t>Revolving TechnoCast</t>
  </si>
  <si>
    <t>Omni Industries</t>
  </si>
  <si>
    <t>Salary Exp.</t>
  </si>
  <si>
    <t>Fuel Expense</t>
  </si>
  <si>
    <t>JYJ &amp; CO</t>
  </si>
  <si>
    <t>Iqra Enterprise</t>
  </si>
  <si>
    <t>Mahavir Steel</t>
  </si>
  <si>
    <t>Nk Impex</t>
  </si>
  <si>
    <t>RECHARGE</t>
  </si>
  <si>
    <t>Loading/Unloading Exp.</t>
  </si>
  <si>
    <t>ICICI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</si>
</sst>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\-yyyy"/>
    <numFmt numFmtId="169" formatCode="[$-F800]dddd\,\ mmmm\ dd\,\ yyyy"/>
    <numFmt numFmtId="171" formatCode="[$-14009]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F1F1F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rgb="FFB8CCE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43" fontId="2" fillId="0" borderId="1" xfId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top"/>
    </xf>
    <xf numFmtId="164" fontId="0" fillId="0" borderId="0" xfId="0" applyNumberFormat="1"/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164" fontId="6" fillId="0" borderId="0" xfId="0" applyNumberFormat="1" applyFont="1"/>
    <xf numFmtId="2" fontId="0" fillId="0" borderId="0" xfId="0" applyNumberFormat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" fontId="2" fillId="0" borderId="7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14" fontId="7" fillId="0" borderId="1" xfId="0" applyNumberFormat="1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 readingOrder="1"/>
    </xf>
    <xf numFmtId="2" fontId="5" fillId="0" borderId="1" xfId="0" applyNumberFormat="1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4" fontId="0" fillId="0" borderId="5" xfId="0" applyNumberFormat="1" applyBorder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" fontId="0" fillId="0" borderId="1" xfId="0" applyNumberFormat="1" applyBorder="1" applyAlignment="1">
      <alignment horizontal="left" vertical="center"/>
    </xf>
    <xf numFmtId="4" fontId="2" fillId="0" borderId="1" xfId="1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left" vertical="center"/>
    </xf>
    <xf numFmtId="164" fontId="0" fillId="0" borderId="7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6" fillId="3" borderId="9" xfId="0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center" wrapText="1" readingOrder="1"/>
    </xf>
    <xf numFmtId="14" fontId="0" fillId="0" borderId="1" xfId="0" applyNumberFormat="1" applyBorder="1" applyAlignment="1">
      <alignment horizontal="left" vertical="center"/>
    </xf>
    <xf numFmtId="0" fontId="2" fillId="0" borderId="7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horizontal="left" vertical="top"/>
    </xf>
    <xf numFmtId="2" fontId="10" fillId="0" borderId="1" xfId="0" applyNumberFormat="1" applyFont="1" applyBorder="1" applyAlignment="1">
      <alignment horizontal="left" vertical="center"/>
    </xf>
    <xf numFmtId="2" fontId="11" fillId="0" borderId="1" xfId="1" applyNumberFormat="1" applyFont="1" applyBorder="1" applyAlignment="1">
      <alignment horizontal="left" vertical="center"/>
    </xf>
    <xf numFmtId="2" fontId="11" fillId="0" borderId="1" xfId="1" applyNumberFormat="1" applyFont="1" applyBorder="1" applyAlignment="1">
      <alignment horizontal="left" vertical="top"/>
    </xf>
    <xf numFmtId="2" fontId="11" fillId="0" borderId="7" xfId="1" applyNumberFormat="1" applyFont="1" applyBorder="1" applyAlignment="1">
      <alignment horizontal="left" vertical="top"/>
    </xf>
    <xf numFmtId="2" fontId="11" fillId="0" borderId="5" xfId="1" applyNumberFormat="1" applyFont="1" applyBorder="1" applyAlignment="1">
      <alignment horizontal="left" vertical="top"/>
    </xf>
    <xf numFmtId="2" fontId="12" fillId="0" borderId="0" xfId="0" applyNumberFormat="1" applyFont="1" applyAlignment="1">
      <alignment horizontal="left" vertical="top"/>
    </xf>
    <xf numFmtId="2" fontId="12" fillId="0" borderId="1" xfId="0" applyNumberFormat="1" applyFont="1" applyBorder="1" applyAlignment="1">
      <alignment horizontal="left" vertical="top"/>
    </xf>
    <xf numFmtId="169" fontId="0" fillId="0" borderId="0" xfId="0" applyNumberFormat="1" applyAlignment="1">
      <alignment horizontal="left" vertical="top"/>
    </xf>
    <xf numFmtId="169" fontId="0" fillId="0" borderId="0" xfId="0" applyNumberFormat="1"/>
    <xf numFmtId="171" fontId="0" fillId="0" borderId="0" xfId="0" applyNumberFormat="1"/>
  </cellXfs>
  <cellStyles count="2">
    <cellStyle name="Comma" xfId="1" builtinId="3"/>
    <cellStyle name="Normal" xfId="0" builtinId="0"/>
  </cellStyles>
  <dxfs count="22"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left" textRotation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left" textRotation="0" indent="0" justifyLastLine="0" shrinkToFit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numFmt numFmtId="19" formatCode="dd/mm/yyyy"/>
      <alignment horizontal="left" textRotation="0" indent="0" justifyLastLine="0" shrinkToFit="0"/>
    </dxf>
    <dxf>
      <font>
        <b val="0"/>
      </font>
      <numFmt numFmtId="19" formatCode="dd/mm/yyyy"/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4198F-BEB0-41B1-AC19-FBE20B5CF97D}" name="Table1" displayName="Table1" ref="A2:I167" totalsRowShown="0" headerRowDxfId="21" dataDxfId="20">
  <autoFilter ref="A2:I167" xr:uid="{1624198F-BEB0-41B1-AC19-FBE20B5CF97D}"/>
  <tableColumns count="9">
    <tableColumn id="1" xr3:uid="{00000000-0010-0000-0100-000001000000}" name="SR NO" dataDxfId="19"/>
    <tableColumn id="2" xr3:uid="{00000000-0010-0000-0100-000002000000}" name="Tran Date" dataDxfId="18"/>
    <tableColumn id="3" xr3:uid="{00000000-0010-0000-0100-000003000000}" name="Rec. Date" dataDxfId="17"/>
    <tableColumn id="4" xr3:uid="{00000000-0010-0000-0100-000004000000}" name="CHQNO" dataDxfId="16"/>
    <tableColumn id="5" xr3:uid="{00000000-0010-0000-0100-000005000000}" name="PARTICULARS" dataDxfId="15"/>
    <tableColumn id="6" xr3:uid="{00000000-0010-0000-0100-000006000000}" name="WITHDRAWL" dataDxfId="1"/>
    <tableColumn id="7" xr3:uid="{00000000-0010-0000-0100-000007000000}" name="DEPOSIT" dataDxfId="0"/>
    <tableColumn id="8" xr3:uid="{00000000-0010-0000-0100-000008000000}" name="A/c Name" dataDxfId="14"/>
    <tableColumn id="9" xr3:uid="{00000000-0010-0000-0100-000009000000}" name="Bank Name" dataDxfId="13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F3B0CC-C05E-45B9-90C0-7F84AD2AB0BD}" name="Table2" displayName="Table2" ref="A1:I59" totalsRowShown="0" headerRowDxfId="12" dataDxfId="11">
  <autoFilter ref="A1:I59" xr:uid="{22F3B0CC-C05E-45B9-90C0-7F84AD2AB0BD}"/>
  <tableColumns count="9">
    <tableColumn id="1" xr3:uid="{09101AD2-603E-46F5-A680-6B361F28202D}" name="SR NO" dataDxfId="10"/>
    <tableColumn id="2" xr3:uid="{ABD2DECF-898E-4911-B13E-668F9D09264F}" name="Tran Date" dataDxfId="9"/>
    <tableColumn id="3" xr3:uid="{DFD4CE47-5B77-413B-B528-8CF72B19D6B8}" name="Rec. Date" dataDxfId="8"/>
    <tableColumn id="4" xr3:uid="{7C0D6668-6048-4F90-B5F3-8748D056A09F}" name="CHQNO" dataDxfId="7"/>
    <tableColumn id="5" xr3:uid="{218AA00C-DF96-4C0F-85C3-A3154DAF7DDE}" name="PARTICULARS" dataDxfId="6"/>
    <tableColumn id="6" xr3:uid="{D5142B74-BFFE-4A45-80C8-552345092ABD}" name="WITHDRAWL" dataDxfId="5"/>
    <tableColumn id="7" xr3:uid="{072CC0FC-A559-46B2-9F33-89E42CACC305}" name="DEPOSIT" dataDxfId="4"/>
    <tableColumn id="8" xr3:uid="{0BF9CF32-4E67-4E2F-AE78-3704227928FA}" name="A/c Name (Miracle Ledger Name)" dataDxfId="3"/>
    <tableColumn id="9" xr3:uid="{BF6D74CA-125C-4C73-9E8B-065FC7DA3D43}" name="ICICI BANK LIMITE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73DF-5558-49F3-8344-417115A5CC23}">
  <dimension ref="A1:P170"/>
  <sheetViews>
    <sheetView tabSelected="1" zoomScale="90" zoomScaleNormal="90" zoomScaleSheetLayoutView="110" workbookViewId="0">
      <selection activeCell="D24" sqref="D24"/>
    </sheetView>
  </sheetViews>
  <sheetFormatPr defaultColWidth="9.140625" defaultRowHeight="15" x14ac:dyDescent="0.25"/>
  <cols>
    <col min="1" max="1" width="15.85546875" style="1" customWidth="1"/>
    <col min="2" max="2" width="17.85546875" style="14" customWidth="1"/>
    <col min="3" max="3" width="15.28515625" style="14" customWidth="1"/>
    <col min="4" max="4" width="22.42578125" style="3" customWidth="1"/>
    <col min="5" max="5" width="99.5703125" style="1" bestFit="1" customWidth="1"/>
    <col min="6" max="6" width="20.28515625" style="56" customWidth="1"/>
    <col min="7" max="7" width="22.140625" style="56" customWidth="1"/>
    <col min="8" max="8" width="46" style="1" bestFit="1" customWidth="1"/>
    <col min="9" max="9" width="21.85546875" style="1" customWidth="1"/>
    <col min="10" max="10" width="8.85546875" style="1" customWidth="1"/>
    <col min="11" max="11" width="15.7109375" style="1" customWidth="1"/>
    <col min="12" max="12" width="21.7109375" style="58" customWidth="1"/>
    <col min="13" max="13" width="10.7109375" style="1" customWidth="1"/>
    <col min="14" max="14" width="16.85546875" style="1" customWidth="1"/>
  </cols>
  <sheetData>
    <row r="1" spans="1:16" x14ac:dyDescent="0.25">
      <c r="A1" s="19">
        <v>1</v>
      </c>
      <c r="B1" s="20">
        <v>2</v>
      </c>
      <c r="C1" s="20">
        <v>3</v>
      </c>
      <c r="D1" s="21">
        <v>4</v>
      </c>
      <c r="E1" s="19">
        <v>5</v>
      </c>
      <c r="F1" s="50">
        <v>6</v>
      </c>
      <c r="G1" s="50">
        <v>7</v>
      </c>
      <c r="H1" s="19">
        <v>8</v>
      </c>
      <c r="I1" s="19">
        <v>9</v>
      </c>
    </row>
    <row r="2" spans="1:16" x14ac:dyDescent="0.25">
      <c r="A2" s="22" t="s">
        <v>0</v>
      </c>
      <c r="B2" s="23" t="s">
        <v>1</v>
      </c>
      <c r="C2" s="23" t="s">
        <v>2</v>
      </c>
      <c r="D2" s="24" t="s">
        <v>3</v>
      </c>
      <c r="E2" s="22" t="s">
        <v>4</v>
      </c>
      <c r="F2" s="51" t="s">
        <v>5</v>
      </c>
      <c r="G2" s="51" t="s">
        <v>6</v>
      </c>
      <c r="H2" s="25" t="s">
        <v>7</v>
      </c>
      <c r="I2" s="25" t="s">
        <v>8</v>
      </c>
    </row>
    <row r="3" spans="1:16" ht="15.75" x14ac:dyDescent="0.25">
      <c r="A3" s="26">
        <v>1</v>
      </c>
      <c r="B3" s="46">
        <v>46175</v>
      </c>
      <c r="C3" s="46">
        <v>46175</v>
      </c>
      <c r="D3" s="27"/>
      <c r="E3" s="28" t="s">
        <v>39</v>
      </c>
      <c r="F3" s="29">
        <v>18000</v>
      </c>
      <c r="G3" s="29"/>
      <c r="H3" s="26" t="s">
        <v>92</v>
      </c>
      <c r="I3" s="30" t="s">
        <v>108</v>
      </c>
      <c r="L3" s="60" t="str">
        <f>SUBSTITUTE(B3, ".", "/")</f>
        <v>46175</v>
      </c>
      <c r="N3" s="11" t="s">
        <v>9</v>
      </c>
      <c r="P3" s="6"/>
    </row>
    <row r="4" spans="1:16" ht="15.75" x14ac:dyDescent="0.25">
      <c r="A4" s="26">
        <v>2</v>
      </c>
      <c r="B4" s="46">
        <v>46175</v>
      </c>
      <c r="C4" s="46">
        <v>46175</v>
      </c>
      <c r="D4" s="27"/>
      <c r="E4" s="28" t="s">
        <v>40</v>
      </c>
      <c r="F4" s="29">
        <v>5390</v>
      </c>
      <c r="G4" s="29"/>
      <c r="H4" s="40" t="s">
        <v>93</v>
      </c>
      <c r="I4" s="30" t="s">
        <v>108</v>
      </c>
      <c r="L4" s="59" t="str">
        <f t="shared" ref="L4:L7" si="0">SUBSTITUTE(B4, ".", "/")</f>
        <v>46175</v>
      </c>
      <c r="N4" s="11" t="s">
        <v>10</v>
      </c>
      <c r="P4" s="6"/>
    </row>
    <row r="5" spans="1:16" ht="15.75" x14ac:dyDescent="0.25">
      <c r="A5" s="26">
        <v>3</v>
      </c>
      <c r="B5" s="46">
        <v>46175</v>
      </c>
      <c r="C5" s="46">
        <v>46175</v>
      </c>
      <c r="D5" s="27"/>
      <c r="E5" s="28" t="s">
        <v>41</v>
      </c>
      <c r="F5" s="29">
        <v>25000</v>
      </c>
      <c r="G5" s="29"/>
      <c r="H5" s="26" t="s">
        <v>94</v>
      </c>
      <c r="I5" s="30" t="s">
        <v>108</v>
      </c>
      <c r="L5" s="59" t="str">
        <f t="shared" si="0"/>
        <v>46175</v>
      </c>
      <c r="N5" s="11" t="s">
        <v>11</v>
      </c>
      <c r="P5" s="6"/>
    </row>
    <row r="6" spans="1:16" ht="15.75" x14ac:dyDescent="0.25">
      <c r="A6" s="26">
        <v>4</v>
      </c>
      <c r="B6" s="46">
        <v>46176</v>
      </c>
      <c r="C6" s="46">
        <v>46176</v>
      </c>
      <c r="D6" s="27"/>
      <c r="E6" s="28" t="s">
        <v>42</v>
      </c>
      <c r="F6" s="29">
        <v>1400</v>
      </c>
      <c r="G6" s="29"/>
      <c r="H6" s="40" t="s">
        <v>95</v>
      </c>
      <c r="I6" s="30" t="s">
        <v>108</v>
      </c>
      <c r="L6" s="59" t="str">
        <f t="shared" si="0"/>
        <v>46176</v>
      </c>
      <c r="N6" s="11" t="s">
        <v>12</v>
      </c>
      <c r="P6" s="6"/>
    </row>
    <row r="7" spans="1:16" ht="15.75" x14ac:dyDescent="0.25">
      <c r="A7" s="26">
        <v>5</v>
      </c>
      <c r="B7" s="46">
        <v>46177</v>
      </c>
      <c r="C7" s="46">
        <v>46177</v>
      </c>
      <c r="D7" s="27"/>
      <c r="E7" s="28" t="s">
        <v>43</v>
      </c>
      <c r="F7" s="29"/>
      <c r="G7" s="29">
        <v>353414</v>
      </c>
      <c r="H7" s="26" t="s">
        <v>44</v>
      </c>
      <c r="I7" s="30" t="s">
        <v>108</v>
      </c>
      <c r="L7" s="59" t="str">
        <f t="shared" si="0"/>
        <v>46177</v>
      </c>
      <c r="N7" s="11" t="s">
        <v>13</v>
      </c>
      <c r="P7" s="6"/>
    </row>
    <row r="8" spans="1:16" ht="15.75" x14ac:dyDescent="0.25">
      <c r="A8" s="26">
        <v>6</v>
      </c>
      <c r="B8" s="46">
        <v>46177</v>
      </c>
      <c r="C8" s="46">
        <v>46177</v>
      </c>
      <c r="D8" s="27"/>
      <c r="E8" s="28" t="s">
        <v>45</v>
      </c>
      <c r="F8" s="29">
        <v>1320</v>
      </c>
      <c r="G8" s="29"/>
      <c r="H8" s="26" t="s">
        <v>92</v>
      </c>
      <c r="I8" s="30" t="s">
        <v>108</v>
      </c>
      <c r="L8" s="59" t="str">
        <f t="shared" ref="L5:L61" si="1">SUBSTITUTE(B8, ".", "/")</f>
        <v>46177</v>
      </c>
      <c r="N8" s="11" t="s">
        <v>13</v>
      </c>
      <c r="P8" s="6"/>
    </row>
    <row r="9" spans="1:16" ht="15.75" x14ac:dyDescent="0.25">
      <c r="A9" s="26">
        <v>7</v>
      </c>
      <c r="B9" s="46">
        <v>46178</v>
      </c>
      <c r="C9" s="46">
        <v>46178</v>
      </c>
      <c r="D9" s="27"/>
      <c r="E9" s="28" t="s">
        <v>46</v>
      </c>
      <c r="F9" s="29">
        <v>350000</v>
      </c>
      <c r="G9" s="29"/>
      <c r="H9" s="26" t="s">
        <v>32</v>
      </c>
      <c r="I9" s="30" t="s">
        <v>108</v>
      </c>
      <c r="L9" s="59" t="str">
        <f t="shared" si="1"/>
        <v>46178</v>
      </c>
      <c r="N9" s="11" t="s">
        <v>14</v>
      </c>
      <c r="P9" s="6"/>
    </row>
    <row r="10" spans="1:16" ht="15.75" x14ac:dyDescent="0.25">
      <c r="A10" s="26">
        <v>8</v>
      </c>
      <c r="B10" s="46">
        <v>46178</v>
      </c>
      <c r="C10" s="46">
        <v>46178</v>
      </c>
      <c r="D10" s="27"/>
      <c r="E10" s="28" t="s">
        <v>47</v>
      </c>
      <c r="F10" s="29">
        <v>900</v>
      </c>
      <c r="G10" s="29"/>
      <c r="H10" s="26" t="s">
        <v>96</v>
      </c>
      <c r="I10" s="30" t="s">
        <v>108</v>
      </c>
      <c r="L10" s="59" t="str">
        <f t="shared" si="1"/>
        <v>46178</v>
      </c>
      <c r="N10" s="11" t="s">
        <v>15</v>
      </c>
      <c r="P10" s="6"/>
    </row>
    <row r="11" spans="1:16" ht="15.75" x14ac:dyDescent="0.25">
      <c r="A11" s="26">
        <v>9</v>
      </c>
      <c r="B11" s="46">
        <v>46178</v>
      </c>
      <c r="C11" s="46">
        <v>46178</v>
      </c>
      <c r="D11" s="27"/>
      <c r="E11" s="28" t="s">
        <v>48</v>
      </c>
      <c r="F11" s="29">
        <v>1600</v>
      </c>
      <c r="G11" s="29"/>
      <c r="H11" s="40" t="s">
        <v>97</v>
      </c>
      <c r="I11" s="30" t="s">
        <v>108</v>
      </c>
      <c r="L11" s="59" t="str">
        <f t="shared" si="1"/>
        <v>46178</v>
      </c>
      <c r="N11" s="11" t="s">
        <v>16</v>
      </c>
      <c r="P11" s="6"/>
    </row>
    <row r="12" spans="1:16" ht="15.75" x14ac:dyDescent="0.25">
      <c r="A12" s="26">
        <v>10</v>
      </c>
      <c r="B12" s="46">
        <v>46179</v>
      </c>
      <c r="C12" s="46">
        <v>46179</v>
      </c>
      <c r="D12" s="27"/>
      <c r="E12" s="28" t="s">
        <v>49</v>
      </c>
      <c r="F12" s="29">
        <v>2690</v>
      </c>
      <c r="G12" s="29"/>
      <c r="H12" s="26" t="s">
        <v>50</v>
      </c>
      <c r="I12" s="30" t="s">
        <v>108</v>
      </c>
      <c r="L12" s="59" t="str">
        <f t="shared" si="1"/>
        <v>46179</v>
      </c>
      <c r="N12" s="11" t="s">
        <v>17</v>
      </c>
      <c r="P12" s="6"/>
    </row>
    <row r="13" spans="1:16" ht="15.75" x14ac:dyDescent="0.25">
      <c r="A13" s="26">
        <v>11</v>
      </c>
      <c r="B13" s="46">
        <v>46180</v>
      </c>
      <c r="C13" s="46">
        <v>46180</v>
      </c>
      <c r="D13" s="27"/>
      <c r="E13" s="28" t="s">
        <v>51</v>
      </c>
      <c r="F13" s="29"/>
      <c r="G13" s="29">
        <v>417590</v>
      </c>
      <c r="H13" s="26" t="s">
        <v>98</v>
      </c>
      <c r="I13" s="30" t="s">
        <v>108</v>
      </c>
      <c r="L13" s="59" t="str">
        <f t="shared" si="1"/>
        <v>46180</v>
      </c>
      <c r="N13" s="11" t="s">
        <v>18</v>
      </c>
      <c r="P13" s="6"/>
    </row>
    <row r="14" spans="1:16" ht="15.75" x14ac:dyDescent="0.25">
      <c r="A14" s="26">
        <v>12</v>
      </c>
      <c r="B14" s="46">
        <v>46181</v>
      </c>
      <c r="C14" s="46">
        <v>46181</v>
      </c>
      <c r="D14" s="27"/>
      <c r="E14" s="28" t="s">
        <v>52</v>
      </c>
      <c r="F14" s="29">
        <v>226512</v>
      </c>
      <c r="G14" s="29"/>
      <c r="H14" s="26" t="s">
        <v>99</v>
      </c>
      <c r="I14" s="30" t="s">
        <v>108</v>
      </c>
      <c r="L14" s="59" t="str">
        <f t="shared" si="1"/>
        <v>46181</v>
      </c>
      <c r="N14" s="11" t="s">
        <v>19</v>
      </c>
      <c r="P14" s="6"/>
    </row>
    <row r="15" spans="1:16" ht="15.75" x14ac:dyDescent="0.25">
      <c r="A15" s="26">
        <v>13</v>
      </c>
      <c r="B15" s="46">
        <v>46182</v>
      </c>
      <c r="C15" s="46">
        <v>46182</v>
      </c>
      <c r="D15" s="27"/>
      <c r="E15" s="28" t="s">
        <v>53</v>
      </c>
      <c r="F15" s="29">
        <v>21950</v>
      </c>
      <c r="G15" s="29"/>
      <c r="H15" s="26" t="s">
        <v>100</v>
      </c>
      <c r="I15" s="30" t="s">
        <v>108</v>
      </c>
      <c r="L15" s="59" t="str">
        <f t="shared" si="1"/>
        <v>46182</v>
      </c>
      <c r="N15" s="11" t="s">
        <v>20</v>
      </c>
      <c r="P15" s="6"/>
    </row>
    <row r="16" spans="1:16" ht="15.75" x14ac:dyDescent="0.25">
      <c r="A16" s="26">
        <v>14</v>
      </c>
      <c r="B16" s="46">
        <v>46182</v>
      </c>
      <c r="C16" s="46">
        <v>46182</v>
      </c>
      <c r="D16" s="27"/>
      <c r="E16" s="28" t="s">
        <v>54</v>
      </c>
      <c r="F16" s="29">
        <v>21950</v>
      </c>
      <c r="G16" s="29"/>
      <c r="H16" s="26" t="s">
        <v>100</v>
      </c>
      <c r="I16" s="30" t="s">
        <v>108</v>
      </c>
      <c r="L16" s="59" t="str">
        <f t="shared" si="1"/>
        <v>46182</v>
      </c>
      <c r="N16" s="11" t="s">
        <v>21</v>
      </c>
      <c r="P16" s="6"/>
    </row>
    <row r="17" spans="1:16" ht="15.75" x14ac:dyDescent="0.25">
      <c r="A17" s="26">
        <v>15</v>
      </c>
      <c r="B17" s="46">
        <v>46182</v>
      </c>
      <c r="C17" s="46">
        <v>46182</v>
      </c>
      <c r="D17" s="27"/>
      <c r="E17" s="28" t="s">
        <v>55</v>
      </c>
      <c r="F17" s="29">
        <v>350000</v>
      </c>
      <c r="G17" s="29"/>
      <c r="H17" s="26" t="s">
        <v>32</v>
      </c>
      <c r="I17" s="30" t="s">
        <v>108</v>
      </c>
      <c r="L17" s="59" t="str">
        <f t="shared" si="1"/>
        <v>46182</v>
      </c>
      <c r="N17" s="11" t="s">
        <v>22</v>
      </c>
      <c r="P17" s="6"/>
    </row>
    <row r="18" spans="1:16" ht="15.75" x14ac:dyDescent="0.25">
      <c r="A18" s="26">
        <v>16</v>
      </c>
      <c r="B18" s="46">
        <v>46182</v>
      </c>
      <c r="C18" s="46">
        <v>46182</v>
      </c>
      <c r="D18" s="27"/>
      <c r="E18" s="28" t="s">
        <v>56</v>
      </c>
      <c r="F18" s="29">
        <v>10000</v>
      </c>
      <c r="G18" s="29"/>
      <c r="H18" s="26" t="s">
        <v>100</v>
      </c>
      <c r="I18" s="30" t="s">
        <v>108</v>
      </c>
      <c r="L18" s="59" t="str">
        <f t="shared" si="1"/>
        <v>46182</v>
      </c>
      <c r="N18" s="11" t="s">
        <v>22</v>
      </c>
      <c r="P18" s="6"/>
    </row>
    <row r="19" spans="1:16" ht="15.75" x14ac:dyDescent="0.25">
      <c r="A19" s="26">
        <v>17</v>
      </c>
      <c r="B19" s="46">
        <v>46182</v>
      </c>
      <c r="C19" s="46">
        <v>46182</v>
      </c>
      <c r="D19" s="27"/>
      <c r="E19" s="28" t="s">
        <v>57</v>
      </c>
      <c r="F19" s="29"/>
      <c r="G19" s="29">
        <v>362685</v>
      </c>
      <c r="H19" s="26" t="s">
        <v>44</v>
      </c>
      <c r="I19" s="30" t="s">
        <v>108</v>
      </c>
      <c r="L19" s="59" t="str">
        <f t="shared" si="1"/>
        <v>46182</v>
      </c>
      <c r="N19" s="11" t="s">
        <v>23</v>
      </c>
      <c r="P19" s="6"/>
    </row>
    <row r="20" spans="1:16" ht="15.75" x14ac:dyDescent="0.25">
      <c r="A20" s="26">
        <v>18</v>
      </c>
      <c r="B20" s="46">
        <v>46184</v>
      </c>
      <c r="C20" s="46">
        <v>46184</v>
      </c>
      <c r="D20" s="27"/>
      <c r="E20" s="28" t="s">
        <v>58</v>
      </c>
      <c r="F20" s="29">
        <v>2680</v>
      </c>
      <c r="G20" s="29"/>
      <c r="H20" s="26" t="s">
        <v>101</v>
      </c>
      <c r="I20" s="30" t="s">
        <v>108</v>
      </c>
      <c r="L20" s="59" t="str">
        <f t="shared" si="1"/>
        <v>46184</v>
      </c>
      <c r="N20" s="11" t="s">
        <v>24</v>
      </c>
      <c r="P20" s="6"/>
    </row>
    <row r="21" spans="1:16" ht="15.75" x14ac:dyDescent="0.25">
      <c r="A21" s="26">
        <v>19</v>
      </c>
      <c r="B21" s="46">
        <v>46184</v>
      </c>
      <c r="C21" s="46">
        <v>46184</v>
      </c>
      <c r="D21" s="27"/>
      <c r="E21" s="28" t="s">
        <v>59</v>
      </c>
      <c r="F21" s="29">
        <v>1000</v>
      </c>
      <c r="G21" s="29"/>
      <c r="H21" s="26" t="s">
        <v>92</v>
      </c>
      <c r="I21" s="30" t="s">
        <v>108</v>
      </c>
      <c r="L21" s="59" t="str">
        <f t="shared" si="1"/>
        <v>46184</v>
      </c>
      <c r="N21" s="11" t="s">
        <v>25</v>
      </c>
      <c r="P21" s="6" t="str">
        <f t="shared" ref="P21:P27" si="2">SUBSTITUTE(F21, ".", "/")</f>
        <v>1000</v>
      </c>
    </row>
    <row r="22" spans="1:16" ht="15.75" x14ac:dyDescent="0.25">
      <c r="A22" s="26">
        <v>20</v>
      </c>
      <c r="B22" s="47">
        <v>46187</v>
      </c>
      <c r="C22" s="47">
        <v>46187</v>
      </c>
      <c r="D22" s="27"/>
      <c r="E22" s="17" t="s">
        <v>60</v>
      </c>
      <c r="F22" s="52">
        <v>4925</v>
      </c>
      <c r="G22" s="52"/>
      <c r="H22" s="40" t="s">
        <v>93</v>
      </c>
      <c r="I22" s="30" t="s">
        <v>108</v>
      </c>
      <c r="L22" s="59" t="str">
        <f t="shared" si="1"/>
        <v>46187</v>
      </c>
      <c r="N22" s="11" t="s">
        <v>26</v>
      </c>
      <c r="P22" s="6" t="str">
        <f t="shared" si="2"/>
        <v>4925</v>
      </c>
    </row>
    <row r="23" spans="1:16" ht="15.75" x14ac:dyDescent="0.25">
      <c r="A23" s="26">
        <v>21</v>
      </c>
      <c r="B23" s="47">
        <v>46187</v>
      </c>
      <c r="C23" s="47">
        <v>46187</v>
      </c>
      <c r="D23" s="27"/>
      <c r="E23" s="17" t="s">
        <v>61</v>
      </c>
      <c r="F23" s="52"/>
      <c r="G23" s="52">
        <v>63718</v>
      </c>
      <c r="H23" s="26" t="s">
        <v>62</v>
      </c>
      <c r="I23" s="30" t="s">
        <v>108</v>
      </c>
      <c r="L23" s="59" t="str">
        <f t="shared" si="1"/>
        <v>46187</v>
      </c>
      <c r="N23" s="11" t="s">
        <v>27</v>
      </c>
      <c r="P23" s="6" t="str">
        <f t="shared" si="2"/>
        <v/>
      </c>
    </row>
    <row r="24" spans="1:16" ht="15.75" x14ac:dyDescent="0.25">
      <c r="A24" s="26">
        <v>22</v>
      </c>
      <c r="B24" s="47">
        <v>46188</v>
      </c>
      <c r="C24" s="47">
        <v>46188</v>
      </c>
      <c r="D24" s="27"/>
      <c r="E24" s="17" t="s">
        <v>63</v>
      </c>
      <c r="F24" s="52">
        <v>216525</v>
      </c>
      <c r="G24" s="52"/>
      <c r="H24" s="26" t="s">
        <v>99</v>
      </c>
      <c r="I24" s="30" t="s">
        <v>108</v>
      </c>
      <c r="L24" s="59" t="str">
        <f t="shared" si="1"/>
        <v>46188</v>
      </c>
      <c r="N24" s="11" t="s">
        <v>28</v>
      </c>
      <c r="P24" s="6" t="str">
        <f t="shared" si="2"/>
        <v>216525</v>
      </c>
    </row>
    <row r="25" spans="1:16" ht="15.75" x14ac:dyDescent="0.25">
      <c r="A25" s="26">
        <v>23</v>
      </c>
      <c r="B25" s="47">
        <v>46189</v>
      </c>
      <c r="C25" s="47">
        <v>46189</v>
      </c>
      <c r="D25" s="27"/>
      <c r="E25" s="17" t="s">
        <v>64</v>
      </c>
      <c r="F25" s="52">
        <v>1200</v>
      </c>
      <c r="G25" s="52"/>
      <c r="H25" s="26" t="s">
        <v>92</v>
      </c>
      <c r="I25" s="30" t="s">
        <v>108</v>
      </c>
      <c r="L25" s="59" t="str">
        <f t="shared" si="1"/>
        <v>46189</v>
      </c>
      <c r="N25" s="11" t="s">
        <v>29</v>
      </c>
      <c r="P25" s="6" t="str">
        <f t="shared" si="2"/>
        <v>1200</v>
      </c>
    </row>
    <row r="26" spans="1:16" ht="15.75" x14ac:dyDescent="0.25">
      <c r="A26" s="26">
        <v>24</v>
      </c>
      <c r="B26" s="47">
        <v>46189</v>
      </c>
      <c r="C26" s="47">
        <v>46189</v>
      </c>
      <c r="D26" s="27"/>
      <c r="E26" s="17" t="s">
        <v>65</v>
      </c>
      <c r="F26" s="52"/>
      <c r="G26" s="52">
        <v>391257</v>
      </c>
      <c r="H26" s="40" t="s">
        <v>66</v>
      </c>
      <c r="I26" s="30" t="s">
        <v>108</v>
      </c>
      <c r="L26" s="59" t="str">
        <f t="shared" si="1"/>
        <v>46189</v>
      </c>
      <c r="N26" s="11" t="s">
        <v>29</v>
      </c>
      <c r="P26" s="6" t="str">
        <f t="shared" si="2"/>
        <v/>
      </c>
    </row>
    <row r="27" spans="1:16" ht="15.75" x14ac:dyDescent="0.25">
      <c r="A27" s="26">
        <v>25</v>
      </c>
      <c r="B27" s="47">
        <v>46190</v>
      </c>
      <c r="C27" s="47">
        <v>46190</v>
      </c>
      <c r="D27" s="27"/>
      <c r="E27" s="17" t="s">
        <v>67</v>
      </c>
      <c r="F27" s="52">
        <v>12253</v>
      </c>
      <c r="G27" s="52"/>
      <c r="H27" s="26" t="s">
        <v>102</v>
      </c>
      <c r="I27" s="30" t="s">
        <v>108</v>
      </c>
      <c r="L27" s="59" t="str">
        <f t="shared" si="1"/>
        <v>46190</v>
      </c>
      <c r="N27" s="11" t="s">
        <v>30</v>
      </c>
      <c r="P27" s="6" t="str">
        <f t="shared" si="2"/>
        <v>12253</v>
      </c>
    </row>
    <row r="28" spans="1:16" ht="15.75" x14ac:dyDescent="0.25">
      <c r="A28" s="31">
        <v>26</v>
      </c>
      <c r="B28" s="32">
        <v>46190</v>
      </c>
      <c r="C28" s="32">
        <v>46190</v>
      </c>
      <c r="D28" s="27"/>
      <c r="E28" s="17" t="s">
        <v>68</v>
      </c>
      <c r="F28" s="53"/>
      <c r="G28" s="52">
        <v>12930</v>
      </c>
      <c r="H28" s="31" t="s">
        <v>103</v>
      </c>
      <c r="I28" s="7" t="s">
        <v>108</v>
      </c>
      <c r="L28" s="59" t="str">
        <f t="shared" si="1"/>
        <v>46190</v>
      </c>
    </row>
    <row r="29" spans="1:16" ht="15.75" x14ac:dyDescent="0.25">
      <c r="A29" s="31">
        <v>27</v>
      </c>
      <c r="B29" s="32">
        <v>46191</v>
      </c>
      <c r="C29" s="32">
        <v>46191</v>
      </c>
      <c r="D29" s="27"/>
      <c r="E29" s="17" t="s">
        <v>69</v>
      </c>
      <c r="F29" s="53"/>
      <c r="G29" s="52">
        <v>387817</v>
      </c>
      <c r="H29" s="31" t="s">
        <v>98</v>
      </c>
      <c r="I29" s="7" t="s">
        <v>108</v>
      </c>
      <c r="L29" s="59" t="str">
        <f t="shared" si="1"/>
        <v>46191</v>
      </c>
    </row>
    <row r="30" spans="1:16" ht="15.75" x14ac:dyDescent="0.25">
      <c r="A30" s="31">
        <v>28</v>
      </c>
      <c r="B30" s="32">
        <v>46191</v>
      </c>
      <c r="C30" s="32">
        <v>46191</v>
      </c>
      <c r="D30" s="27"/>
      <c r="E30" s="17" t="s">
        <v>70</v>
      </c>
      <c r="F30" s="53">
        <v>346155</v>
      </c>
      <c r="G30" s="57"/>
      <c r="H30" s="7" t="s">
        <v>104</v>
      </c>
      <c r="I30" s="7" t="s">
        <v>108</v>
      </c>
      <c r="L30" s="59" t="str">
        <f t="shared" si="1"/>
        <v>46191</v>
      </c>
    </row>
    <row r="31" spans="1:16" ht="15.75" x14ac:dyDescent="0.25">
      <c r="A31" s="31">
        <v>29</v>
      </c>
      <c r="B31" s="32">
        <v>46193</v>
      </c>
      <c r="C31" s="32">
        <v>46193</v>
      </c>
      <c r="D31" s="27"/>
      <c r="E31" s="17" t="s">
        <v>71</v>
      </c>
      <c r="F31" s="53">
        <v>100</v>
      </c>
      <c r="G31" s="57"/>
      <c r="H31" s="31" t="s">
        <v>50</v>
      </c>
      <c r="I31" s="7" t="s">
        <v>108</v>
      </c>
      <c r="L31" s="59" t="str">
        <f t="shared" si="1"/>
        <v>46193</v>
      </c>
    </row>
    <row r="32" spans="1:16" ht="15.75" x14ac:dyDescent="0.25">
      <c r="A32" s="31">
        <v>30</v>
      </c>
      <c r="B32" s="32">
        <v>46193</v>
      </c>
      <c r="C32" s="32">
        <v>46193</v>
      </c>
      <c r="D32" s="27"/>
      <c r="E32" s="17" t="s">
        <v>72</v>
      </c>
      <c r="F32" s="53">
        <v>2700</v>
      </c>
      <c r="G32" s="52"/>
      <c r="H32" s="31" t="s">
        <v>93</v>
      </c>
      <c r="I32" s="7" t="s">
        <v>108</v>
      </c>
      <c r="L32" s="59" t="str">
        <f t="shared" si="1"/>
        <v>46193</v>
      </c>
    </row>
    <row r="33" spans="1:12" ht="15.75" x14ac:dyDescent="0.25">
      <c r="A33" s="31">
        <v>31</v>
      </c>
      <c r="B33" s="32">
        <v>46195</v>
      </c>
      <c r="C33" s="32">
        <v>46195</v>
      </c>
      <c r="D33" s="27"/>
      <c r="E33" s="17" t="s">
        <v>73</v>
      </c>
      <c r="F33" s="53"/>
      <c r="G33" s="52">
        <v>357290</v>
      </c>
      <c r="H33" s="31" t="s">
        <v>44</v>
      </c>
      <c r="I33" s="7" t="s">
        <v>108</v>
      </c>
      <c r="L33" s="59" t="str">
        <f t="shared" si="1"/>
        <v>46195</v>
      </c>
    </row>
    <row r="34" spans="1:12" ht="15.75" x14ac:dyDescent="0.25">
      <c r="A34" s="31">
        <v>32</v>
      </c>
      <c r="B34" s="32">
        <v>46196</v>
      </c>
      <c r="C34" s="32">
        <v>46196</v>
      </c>
      <c r="D34" s="27"/>
      <c r="E34" s="17" t="s">
        <v>74</v>
      </c>
      <c r="F34" s="53">
        <v>5000</v>
      </c>
      <c r="G34" s="52"/>
      <c r="H34" s="31" t="s">
        <v>100</v>
      </c>
      <c r="I34" s="7" t="s">
        <v>108</v>
      </c>
      <c r="L34" s="59" t="str">
        <f t="shared" si="1"/>
        <v>46196</v>
      </c>
    </row>
    <row r="35" spans="1:12" ht="15.75" x14ac:dyDescent="0.25">
      <c r="A35" s="31">
        <v>33</v>
      </c>
      <c r="B35" s="32">
        <v>46196</v>
      </c>
      <c r="C35" s="32">
        <v>46196</v>
      </c>
      <c r="D35" s="27"/>
      <c r="E35" s="17" t="s">
        <v>75</v>
      </c>
      <c r="F35" s="53">
        <v>10000</v>
      </c>
      <c r="G35" s="52"/>
      <c r="H35" s="49" t="s">
        <v>100</v>
      </c>
      <c r="I35" s="7" t="s">
        <v>108</v>
      </c>
      <c r="L35" s="59" t="str">
        <f t="shared" si="1"/>
        <v>46196</v>
      </c>
    </row>
    <row r="36" spans="1:12" ht="15.75" x14ac:dyDescent="0.25">
      <c r="A36" s="31">
        <v>34</v>
      </c>
      <c r="B36" s="32">
        <v>46196</v>
      </c>
      <c r="C36" s="32">
        <v>46196</v>
      </c>
      <c r="D36" s="27"/>
      <c r="E36" s="17" t="s">
        <v>76</v>
      </c>
      <c r="F36" s="53">
        <v>10000</v>
      </c>
      <c r="G36" s="52"/>
      <c r="H36" s="49" t="s">
        <v>100</v>
      </c>
      <c r="I36" s="7" t="s">
        <v>108</v>
      </c>
      <c r="L36" s="59" t="str">
        <f t="shared" si="1"/>
        <v>46196</v>
      </c>
    </row>
    <row r="37" spans="1:12" ht="15.75" x14ac:dyDescent="0.25">
      <c r="A37" s="31">
        <v>35</v>
      </c>
      <c r="B37" s="32">
        <v>46197</v>
      </c>
      <c r="C37" s="32">
        <v>46197</v>
      </c>
      <c r="D37" s="27"/>
      <c r="E37" s="17" t="s">
        <v>77</v>
      </c>
      <c r="F37" s="53">
        <v>10000</v>
      </c>
      <c r="G37" s="52"/>
      <c r="H37" s="31" t="s">
        <v>100</v>
      </c>
      <c r="I37" s="7" t="s">
        <v>108</v>
      </c>
      <c r="L37" s="59" t="str">
        <f t="shared" si="1"/>
        <v>46197</v>
      </c>
    </row>
    <row r="38" spans="1:12" ht="15.75" x14ac:dyDescent="0.25">
      <c r="A38" s="31">
        <v>36</v>
      </c>
      <c r="B38" s="32">
        <v>46198</v>
      </c>
      <c r="C38" s="32">
        <v>46198</v>
      </c>
      <c r="D38" s="27"/>
      <c r="E38" s="17" t="s">
        <v>78</v>
      </c>
      <c r="F38" s="53">
        <v>500000</v>
      </c>
      <c r="G38" s="57"/>
      <c r="H38" s="31" t="s">
        <v>100</v>
      </c>
      <c r="I38" s="7" t="s">
        <v>108</v>
      </c>
      <c r="L38" s="59" t="str">
        <f t="shared" si="1"/>
        <v>46198</v>
      </c>
    </row>
    <row r="39" spans="1:12" ht="15.75" x14ac:dyDescent="0.25">
      <c r="A39" s="31">
        <v>37</v>
      </c>
      <c r="B39" s="32">
        <v>46198</v>
      </c>
      <c r="C39" s="32">
        <v>46198</v>
      </c>
      <c r="D39" s="27"/>
      <c r="E39" s="17" t="s">
        <v>79</v>
      </c>
      <c r="F39" s="53">
        <v>1000</v>
      </c>
      <c r="G39" s="57"/>
      <c r="H39" s="42" t="s">
        <v>100</v>
      </c>
      <c r="I39" s="7" t="s">
        <v>108</v>
      </c>
      <c r="L39" s="59" t="str">
        <f t="shared" si="1"/>
        <v>46198</v>
      </c>
    </row>
    <row r="40" spans="1:12" ht="15.75" x14ac:dyDescent="0.25">
      <c r="A40" s="31">
        <v>38</v>
      </c>
      <c r="B40" s="32">
        <v>46199</v>
      </c>
      <c r="C40" s="32">
        <v>46199</v>
      </c>
      <c r="D40" s="27"/>
      <c r="E40" s="17" t="s">
        <v>80</v>
      </c>
      <c r="F40" s="53">
        <v>200</v>
      </c>
      <c r="G40" s="57"/>
      <c r="H40" s="42" t="s">
        <v>94</v>
      </c>
      <c r="I40" s="7" t="s">
        <v>108</v>
      </c>
      <c r="L40" s="59" t="str">
        <f t="shared" si="1"/>
        <v>46199</v>
      </c>
    </row>
    <row r="41" spans="1:12" ht="15.75" x14ac:dyDescent="0.25">
      <c r="A41" s="31">
        <v>39</v>
      </c>
      <c r="B41" s="32">
        <v>46199</v>
      </c>
      <c r="C41" s="32">
        <v>46199</v>
      </c>
      <c r="D41" s="27"/>
      <c r="E41" s="17" t="s">
        <v>81</v>
      </c>
      <c r="F41" s="53"/>
      <c r="G41" s="57">
        <v>600000</v>
      </c>
      <c r="H41" s="42" t="s">
        <v>32</v>
      </c>
      <c r="I41" s="7" t="s">
        <v>108</v>
      </c>
      <c r="L41" s="59" t="str">
        <f t="shared" si="1"/>
        <v>46199</v>
      </c>
    </row>
    <row r="42" spans="1:12" ht="15.75" x14ac:dyDescent="0.25">
      <c r="A42" s="31">
        <v>40</v>
      </c>
      <c r="B42" s="32">
        <v>46199</v>
      </c>
      <c r="C42" s="32">
        <v>46199</v>
      </c>
      <c r="D42" s="27"/>
      <c r="E42" s="17" t="s">
        <v>82</v>
      </c>
      <c r="F42" s="53">
        <v>1100000</v>
      </c>
      <c r="G42" s="57"/>
      <c r="H42" s="42" t="s">
        <v>92</v>
      </c>
      <c r="I42" s="7" t="s">
        <v>108</v>
      </c>
      <c r="L42" s="59" t="str">
        <f t="shared" si="1"/>
        <v>46199</v>
      </c>
    </row>
    <row r="43" spans="1:12" ht="15.75" x14ac:dyDescent="0.25">
      <c r="A43" s="31">
        <v>41</v>
      </c>
      <c r="B43" s="32">
        <v>46199</v>
      </c>
      <c r="C43" s="32">
        <v>46199</v>
      </c>
      <c r="D43" s="27"/>
      <c r="E43" s="17" t="s">
        <v>83</v>
      </c>
      <c r="F43" s="53"/>
      <c r="G43" s="57">
        <v>336118</v>
      </c>
      <c r="H43" s="31" t="s">
        <v>62</v>
      </c>
      <c r="I43" s="7" t="s">
        <v>108</v>
      </c>
      <c r="L43" s="59" t="str">
        <f t="shared" si="1"/>
        <v>46199</v>
      </c>
    </row>
    <row r="44" spans="1:12" ht="15.75" x14ac:dyDescent="0.25">
      <c r="A44" s="31">
        <v>42</v>
      </c>
      <c r="B44" s="32">
        <v>46200</v>
      </c>
      <c r="C44" s="32">
        <v>46200</v>
      </c>
      <c r="D44" s="27"/>
      <c r="E44" s="17" t="s">
        <v>84</v>
      </c>
      <c r="F44" s="53">
        <v>60401</v>
      </c>
      <c r="G44" s="57"/>
      <c r="H44" s="42" t="s">
        <v>105</v>
      </c>
      <c r="I44" s="7" t="s">
        <v>108</v>
      </c>
      <c r="L44" s="59" t="str">
        <f t="shared" si="1"/>
        <v>46200</v>
      </c>
    </row>
    <row r="45" spans="1:12" ht="15.75" x14ac:dyDescent="0.25">
      <c r="A45" s="31">
        <v>43</v>
      </c>
      <c r="B45" s="32">
        <v>46200</v>
      </c>
      <c r="C45" s="32">
        <v>46200</v>
      </c>
      <c r="D45" s="27"/>
      <c r="E45" s="17" t="s">
        <v>85</v>
      </c>
      <c r="F45" s="53">
        <v>1500</v>
      </c>
      <c r="G45" s="57"/>
      <c r="H45" s="31" t="s">
        <v>100</v>
      </c>
      <c r="I45" s="7" t="s">
        <v>108</v>
      </c>
      <c r="L45" s="59" t="str">
        <f t="shared" si="1"/>
        <v>46200</v>
      </c>
    </row>
    <row r="46" spans="1:12" ht="15.75" x14ac:dyDescent="0.25">
      <c r="A46" s="31">
        <v>44</v>
      </c>
      <c r="B46" s="32">
        <v>46201</v>
      </c>
      <c r="C46" s="32">
        <v>46201</v>
      </c>
      <c r="D46" s="27"/>
      <c r="E46" s="17" t="s">
        <v>86</v>
      </c>
      <c r="F46" s="53">
        <v>305103</v>
      </c>
      <c r="G46" s="57"/>
      <c r="H46" s="42" t="s">
        <v>104</v>
      </c>
      <c r="I46" s="7" t="s">
        <v>108</v>
      </c>
      <c r="L46" s="59" t="str">
        <f t="shared" si="1"/>
        <v>46201</v>
      </c>
    </row>
    <row r="47" spans="1:12" ht="15.75" x14ac:dyDescent="0.25">
      <c r="A47" s="31">
        <v>45</v>
      </c>
      <c r="B47" s="32">
        <v>46201</v>
      </c>
      <c r="C47" s="32">
        <v>46201</v>
      </c>
      <c r="D47" s="27"/>
      <c r="E47" s="17" t="s">
        <v>87</v>
      </c>
      <c r="F47" s="53">
        <v>500</v>
      </c>
      <c r="G47" s="57"/>
      <c r="H47" s="41" t="s">
        <v>101</v>
      </c>
      <c r="I47" s="7" t="s">
        <v>108</v>
      </c>
      <c r="L47" s="59" t="str">
        <f t="shared" si="1"/>
        <v>46201</v>
      </c>
    </row>
    <row r="48" spans="1:12" ht="15.75" x14ac:dyDescent="0.25">
      <c r="A48" s="31">
        <v>46</v>
      </c>
      <c r="B48" s="32">
        <v>46202</v>
      </c>
      <c r="C48" s="32">
        <v>46202</v>
      </c>
      <c r="D48" s="27"/>
      <c r="E48" s="17" t="s">
        <v>88</v>
      </c>
      <c r="F48" s="53">
        <v>1094.42</v>
      </c>
      <c r="G48" s="57"/>
      <c r="H48" s="42" t="s">
        <v>106</v>
      </c>
      <c r="I48" s="7" t="s">
        <v>108</v>
      </c>
      <c r="L48" s="59" t="str">
        <f t="shared" si="1"/>
        <v>46202</v>
      </c>
    </row>
    <row r="49" spans="1:12" ht="15.75" x14ac:dyDescent="0.25">
      <c r="A49" s="31">
        <v>47</v>
      </c>
      <c r="B49" s="32">
        <v>46202</v>
      </c>
      <c r="C49" s="32">
        <v>46202</v>
      </c>
      <c r="D49" s="27"/>
      <c r="E49" s="17" t="s">
        <v>89</v>
      </c>
      <c r="F49" s="53">
        <v>78245</v>
      </c>
      <c r="G49" s="57"/>
      <c r="H49" s="31" t="s">
        <v>90</v>
      </c>
      <c r="I49" s="7" t="s">
        <v>108</v>
      </c>
      <c r="L49" s="59" t="str">
        <f t="shared" si="1"/>
        <v>46202</v>
      </c>
    </row>
    <row r="50" spans="1:12" ht="15.75" x14ac:dyDescent="0.25">
      <c r="A50" s="31">
        <v>48</v>
      </c>
      <c r="B50" s="32">
        <v>46203</v>
      </c>
      <c r="C50" s="32">
        <v>46203</v>
      </c>
      <c r="D50" s="27"/>
      <c r="E50" s="17" t="s">
        <v>91</v>
      </c>
      <c r="F50" s="53">
        <v>3630</v>
      </c>
      <c r="G50" s="57"/>
      <c r="H50" s="42" t="s">
        <v>107</v>
      </c>
      <c r="I50" s="7" t="s">
        <v>108</v>
      </c>
      <c r="L50" s="59" t="str">
        <f t="shared" si="1"/>
        <v>46203</v>
      </c>
    </row>
    <row r="51" spans="1:12" ht="15.75" x14ac:dyDescent="0.25">
      <c r="A51" s="34"/>
      <c r="B51" s="43"/>
      <c r="C51" s="43"/>
      <c r="D51" s="15"/>
      <c r="E51" s="16"/>
      <c r="F51" s="54"/>
      <c r="H51" s="48"/>
      <c r="I51" s="13"/>
      <c r="L51" s="59" t="str">
        <f t="shared" si="1"/>
        <v/>
      </c>
    </row>
    <row r="52" spans="1:12" ht="15.75" x14ac:dyDescent="0.25">
      <c r="A52" s="34"/>
      <c r="B52" s="44"/>
      <c r="C52" s="44"/>
      <c r="D52" s="27"/>
      <c r="E52" s="17"/>
      <c r="F52" s="53"/>
      <c r="H52" s="7"/>
      <c r="I52" s="5"/>
      <c r="L52" s="59" t="str">
        <f t="shared" si="1"/>
        <v/>
      </c>
    </row>
    <row r="53" spans="1:12" ht="15.75" x14ac:dyDescent="0.25">
      <c r="A53" s="34"/>
      <c r="B53" s="44"/>
      <c r="C53" s="44"/>
      <c r="D53" s="27"/>
      <c r="E53" s="17"/>
      <c r="F53" s="53"/>
      <c r="H53" s="42"/>
      <c r="I53" s="5"/>
      <c r="L53" s="59" t="str">
        <f t="shared" si="1"/>
        <v/>
      </c>
    </row>
    <row r="54" spans="1:12" ht="15.75" x14ac:dyDescent="0.25">
      <c r="A54" s="34"/>
      <c r="B54" s="44"/>
      <c r="C54" s="44"/>
      <c r="D54" s="27"/>
      <c r="E54" s="17"/>
      <c r="F54" s="53"/>
      <c r="H54" s="42"/>
      <c r="I54" s="5"/>
      <c r="L54" s="59" t="str">
        <f t="shared" si="1"/>
        <v/>
      </c>
    </row>
    <row r="55" spans="1:12" ht="15.75" x14ac:dyDescent="0.25">
      <c r="A55" s="34"/>
      <c r="B55" s="44"/>
      <c r="C55" s="44"/>
      <c r="D55" s="27"/>
      <c r="E55" s="17"/>
      <c r="F55" s="53"/>
      <c r="H55" s="42"/>
      <c r="I55" s="5"/>
      <c r="L55" s="59" t="str">
        <f t="shared" si="1"/>
        <v/>
      </c>
    </row>
    <row r="56" spans="1:12" ht="15.75" x14ac:dyDescent="0.25">
      <c r="A56" s="34"/>
      <c r="B56" s="44"/>
      <c r="C56" s="44"/>
      <c r="D56" s="27"/>
      <c r="E56" s="17"/>
      <c r="F56" s="53"/>
      <c r="H56" s="41"/>
      <c r="I56" s="5"/>
      <c r="L56" s="59" t="str">
        <f t="shared" si="1"/>
        <v/>
      </c>
    </row>
    <row r="57" spans="1:12" ht="15.75" x14ac:dyDescent="0.25">
      <c r="A57" s="34"/>
      <c r="B57" s="44"/>
      <c r="C57" s="44"/>
      <c r="D57" s="27"/>
      <c r="E57" s="17"/>
      <c r="F57" s="53"/>
      <c r="H57" s="42"/>
      <c r="I57" s="5"/>
      <c r="L57" s="59" t="str">
        <f t="shared" si="1"/>
        <v/>
      </c>
    </row>
    <row r="58" spans="1:12" ht="15.75" x14ac:dyDescent="0.25">
      <c r="A58" s="34"/>
      <c r="B58" s="44"/>
      <c r="C58" s="44"/>
      <c r="D58" s="27"/>
      <c r="E58" s="17"/>
      <c r="F58" s="53"/>
      <c r="H58" s="42"/>
      <c r="I58" s="5"/>
      <c r="L58" s="59" t="str">
        <f t="shared" si="1"/>
        <v/>
      </c>
    </row>
    <row r="59" spans="1:12" ht="15.75" x14ac:dyDescent="0.25">
      <c r="A59" s="34"/>
      <c r="B59" s="44"/>
      <c r="C59" s="44"/>
      <c r="D59" s="27"/>
      <c r="E59" s="17"/>
      <c r="F59" s="53"/>
      <c r="H59" s="7"/>
      <c r="I59" s="5"/>
      <c r="L59" s="59" t="str">
        <f t="shared" si="1"/>
        <v/>
      </c>
    </row>
    <row r="60" spans="1:12" ht="15.75" x14ac:dyDescent="0.25">
      <c r="A60" s="34"/>
      <c r="B60" s="44"/>
      <c r="C60" s="44"/>
      <c r="D60" s="27"/>
      <c r="E60" s="17"/>
      <c r="F60" s="53"/>
      <c r="H60" s="42"/>
      <c r="I60" s="5"/>
      <c r="L60" s="59" t="str">
        <f t="shared" si="1"/>
        <v/>
      </c>
    </row>
    <row r="61" spans="1:12" ht="15.75" x14ac:dyDescent="0.25">
      <c r="A61" s="34"/>
      <c r="B61" s="44"/>
      <c r="C61" s="44"/>
      <c r="D61" s="27"/>
      <c r="E61" s="17"/>
      <c r="F61" s="53"/>
      <c r="H61" s="42"/>
      <c r="I61" s="5"/>
      <c r="L61" s="59" t="str">
        <f t="shared" si="1"/>
        <v/>
      </c>
    </row>
    <row r="62" spans="1:12" ht="15.75" x14ac:dyDescent="0.25">
      <c r="A62" s="34"/>
      <c r="B62" s="32"/>
      <c r="C62" s="32"/>
      <c r="D62" s="17"/>
      <c r="E62" s="17"/>
      <c r="F62" s="53"/>
      <c r="I62" s="5"/>
    </row>
    <row r="63" spans="1:12" ht="15.75" x14ac:dyDescent="0.25">
      <c r="A63" s="34"/>
      <c r="B63" s="32"/>
      <c r="C63" s="32"/>
      <c r="D63" s="17"/>
      <c r="E63" s="17"/>
      <c r="F63" s="53"/>
      <c r="I63" s="5"/>
    </row>
    <row r="64" spans="1:12" ht="15.75" x14ac:dyDescent="0.25">
      <c r="A64" s="34"/>
      <c r="B64" s="32"/>
      <c r="C64" s="32"/>
      <c r="D64" s="17"/>
      <c r="E64" s="17"/>
      <c r="F64" s="53"/>
      <c r="G64" s="52"/>
      <c r="H64" s="7"/>
      <c r="I64" s="5"/>
    </row>
    <row r="65" spans="1:9" ht="15.75" x14ac:dyDescent="0.25">
      <c r="A65" s="34"/>
      <c r="B65" s="32"/>
      <c r="C65" s="32"/>
      <c r="D65" s="17"/>
      <c r="E65" s="17"/>
      <c r="F65" s="53"/>
      <c r="G65" s="52"/>
      <c r="H65" s="7"/>
      <c r="I65" s="5"/>
    </row>
    <row r="66" spans="1:9" ht="15.75" x14ac:dyDescent="0.25">
      <c r="A66" s="34"/>
      <c r="B66" s="32"/>
      <c r="C66" s="32"/>
      <c r="D66" s="17"/>
      <c r="E66" s="17"/>
      <c r="F66" s="53"/>
      <c r="G66" s="52"/>
      <c r="H66" s="7"/>
      <c r="I66" s="5"/>
    </row>
    <row r="67" spans="1:9" ht="15.75" x14ac:dyDescent="0.25">
      <c r="A67" s="34"/>
      <c r="B67" s="32"/>
      <c r="C67" s="32"/>
      <c r="D67" s="17"/>
      <c r="E67" s="17"/>
      <c r="F67" s="53"/>
      <c r="G67" s="52"/>
      <c r="H67" s="7"/>
      <c r="I67" s="5"/>
    </row>
    <row r="68" spans="1:9" ht="15.75" x14ac:dyDescent="0.25">
      <c r="A68" s="34"/>
      <c r="B68" s="32"/>
      <c r="C68" s="32"/>
      <c r="D68" s="17"/>
      <c r="E68" s="17"/>
      <c r="F68" s="53"/>
      <c r="G68" s="52"/>
      <c r="H68" s="2"/>
      <c r="I68" s="5"/>
    </row>
    <row r="69" spans="1:9" ht="15.75" x14ac:dyDescent="0.25">
      <c r="A69" s="34"/>
      <c r="B69" s="32"/>
      <c r="C69" s="32"/>
      <c r="D69" s="17"/>
      <c r="E69" s="17"/>
      <c r="F69" s="53"/>
      <c r="G69" s="52"/>
      <c r="H69" s="2"/>
      <c r="I69" s="5"/>
    </row>
    <row r="70" spans="1:9" ht="15.75" x14ac:dyDescent="0.25">
      <c r="A70" s="34"/>
      <c r="B70" s="32"/>
      <c r="C70" s="32"/>
      <c r="D70" s="17"/>
      <c r="E70" s="17"/>
      <c r="F70" s="53"/>
      <c r="G70" s="52"/>
      <c r="H70" s="7"/>
      <c r="I70" s="5"/>
    </row>
    <row r="71" spans="1:9" ht="15.75" x14ac:dyDescent="0.25">
      <c r="A71" s="34"/>
      <c r="B71" s="32"/>
      <c r="C71" s="32"/>
      <c r="D71" s="17"/>
      <c r="E71" s="17"/>
      <c r="F71" s="53"/>
      <c r="G71" s="52"/>
      <c r="I71" s="5"/>
    </row>
    <row r="72" spans="1:9" ht="15.75" x14ac:dyDescent="0.25">
      <c r="A72" s="34"/>
      <c r="B72" s="32"/>
      <c r="C72" s="32"/>
      <c r="D72" s="17"/>
      <c r="E72" s="17"/>
      <c r="F72" s="53"/>
      <c r="G72" s="52"/>
      <c r="I72" s="5"/>
    </row>
    <row r="73" spans="1:9" ht="15.75" x14ac:dyDescent="0.25">
      <c r="A73" s="34"/>
      <c r="B73" s="32"/>
      <c r="C73" s="32"/>
      <c r="D73" s="17"/>
      <c r="E73" s="17"/>
      <c r="F73" s="53"/>
      <c r="G73" s="52"/>
      <c r="I73" s="5"/>
    </row>
    <row r="74" spans="1:9" ht="15.75" x14ac:dyDescent="0.25">
      <c r="A74" s="34"/>
      <c r="B74" s="32"/>
      <c r="C74" s="32"/>
      <c r="D74" s="17"/>
      <c r="E74" s="17"/>
      <c r="F74" s="53"/>
      <c r="G74" s="52"/>
      <c r="I74" s="5"/>
    </row>
    <row r="75" spans="1:9" ht="15.75" x14ac:dyDescent="0.25">
      <c r="A75" s="34"/>
      <c r="B75" s="32"/>
      <c r="C75" s="32"/>
      <c r="D75" s="17"/>
      <c r="E75" s="17"/>
      <c r="F75" s="53"/>
      <c r="G75" s="52"/>
      <c r="H75" s="7"/>
      <c r="I75" s="5"/>
    </row>
    <row r="76" spans="1:9" ht="15.75" x14ac:dyDescent="0.25">
      <c r="A76" s="34"/>
      <c r="B76" s="32"/>
      <c r="C76" s="32"/>
      <c r="D76" s="17"/>
      <c r="E76" s="17"/>
      <c r="F76" s="53"/>
      <c r="G76" s="52"/>
      <c r="I76" s="5"/>
    </row>
    <row r="77" spans="1:9" ht="15.75" x14ac:dyDescent="0.25">
      <c r="A77" s="34"/>
      <c r="B77" s="32"/>
      <c r="C77" s="32"/>
      <c r="D77" s="17"/>
      <c r="E77" s="17"/>
      <c r="F77" s="53"/>
      <c r="G77" s="52"/>
      <c r="I77" s="5"/>
    </row>
    <row r="78" spans="1:9" ht="15.75" x14ac:dyDescent="0.25">
      <c r="A78" s="34"/>
      <c r="B78" s="32"/>
      <c r="C78" s="32"/>
      <c r="D78" s="17"/>
      <c r="E78" s="17"/>
      <c r="F78" s="53"/>
      <c r="G78" s="52"/>
      <c r="H78" s="2"/>
      <c r="I78" s="5"/>
    </row>
    <row r="79" spans="1:9" ht="15.75" x14ac:dyDescent="0.25">
      <c r="A79" s="34"/>
      <c r="B79" s="32"/>
      <c r="C79" s="32"/>
      <c r="D79" s="17"/>
      <c r="E79" s="17"/>
      <c r="F79" s="53"/>
      <c r="G79" s="52"/>
      <c r="H79" s="8"/>
      <c r="I79" s="5"/>
    </row>
    <row r="80" spans="1:9" ht="15.75" x14ac:dyDescent="0.25">
      <c r="A80" s="34"/>
      <c r="B80" s="32"/>
      <c r="C80" s="32"/>
      <c r="D80" s="17"/>
      <c r="E80" s="17"/>
      <c r="F80" s="53"/>
      <c r="G80" s="52"/>
      <c r="H80" s="2"/>
      <c r="I80" s="5"/>
    </row>
    <row r="81" spans="1:9" ht="15.75" x14ac:dyDescent="0.25">
      <c r="A81" s="34"/>
      <c r="B81" s="32"/>
      <c r="C81" s="32"/>
      <c r="D81" s="17"/>
      <c r="E81" s="17"/>
      <c r="F81" s="53"/>
      <c r="G81" s="52"/>
      <c r="H81" s="2"/>
      <c r="I81" s="5"/>
    </row>
    <row r="82" spans="1:9" ht="15.75" x14ac:dyDescent="0.25">
      <c r="A82" s="34"/>
      <c r="B82" s="32"/>
      <c r="C82" s="32"/>
      <c r="D82" s="17"/>
      <c r="E82" s="17"/>
      <c r="F82" s="53"/>
      <c r="G82" s="52"/>
      <c r="H82" s="2"/>
      <c r="I82" s="5"/>
    </row>
    <row r="83" spans="1:9" ht="15.75" x14ac:dyDescent="0.25">
      <c r="A83" s="34"/>
      <c r="B83" s="32"/>
      <c r="C83" s="32"/>
      <c r="D83" s="17"/>
      <c r="E83" s="17"/>
      <c r="F83" s="53"/>
      <c r="H83" s="7"/>
      <c r="I83" s="5"/>
    </row>
    <row r="84" spans="1:9" ht="15.75" x14ac:dyDescent="0.25">
      <c r="A84" s="34"/>
      <c r="B84" s="32"/>
      <c r="C84" s="32"/>
      <c r="D84" s="17"/>
      <c r="E84" s="17"/>
      <c r="F84" s="53"/>
      <c r="I84" s="5"/>
    </row>
    <row r="85" spans="1:9" ht="15.75" x14ac:dyDescent="0.25">
      <c r="A85" s="34"/>
      <c r="B85" s="32"/>
      <c r="C85" s="32"/>
      <c r="D85" s="17"/>
      <c r="E85" s="17"/>
      <c r="F85" s="53"/>
      <c r="H85" s="4"/>
      <c r="I85" s="5"/>
    </row>
    <row r="86" spans="1:9" ht="15.75" x14ac:dyDescent="0.25">
      <c r="A86" s="34"/>
      <c r="B86" s="32"/>
      <c r="C86" s="32"/>
      <c r="D86" s="17"/>
      <c r="E86" s="17"/>
      <c r="F86" s="53"/>
      <c r="I86" s="5"/>
    </row>
    <row r="87" spans="1:9" ht="15.75" x14ac:dyDescent="0.25">
      <c r="A87" s="34"/>
      <c r="B87" s="32"/>
      <c r="C87" s="32"/>
      <c r="D87" s="17"/>
      <c r="E87" s="17"/>
      <c r="F87" s="53"/>
      <c r="I87" s="5"/>
    </row>
    <row r="88" spans="1:9" ht="15.75" x14ac:dyDescent="0.25">
      <c r="A88" s="34"/>
      <c r="B88" s="32"/>
      <c r="C88" s="32"/>
      <c r="D88" s="17"/>
      <c r="E88" s="17"/>
      <c r="F88" s="53"/>
      <c r="H88" s="4"/>
      <c r="I88" s="5"/>
    </row>
    <row r="89" spans="1:9" ht="15.75" x14ac:dyDescent="0.25">
      <c r="A89" s="34"/>
      <c r="B89" s="32"/>
      <c r="C89" s="32"/>
      <c r="D89" s="17"/>
      <c r="E89" s="17"/>
      <c r="F89" s="53"/>
      <c r="H89" s="2"/>
      <c r="I89" s="5"/>
    </row>
    <row r="90" spans="1:9" ht="15.75" x14ac:dyDescent="0.25">
      <c r="A90" s="34"/>
      <c r="B90" s="32"/>
      <c r="C90" s="32"/>
      <c r="D90" s="17"/>
      <c r="E90" s="17"/>
      <c r="F90" s="53"/>
      <c r="H90" s="2"/>
      <c r="I90" s="5"/>
    </row>
    <row r="91" spans="1:9" ht="15.75" x14ac:dyDescent="0.25">
      <c r="A91" s="34"/>
      <c r="B91" s="32"/>
      <c r="C91" s="32"/>
      <c r="D91" s="17"/>
      <c r="E91" s="17"/>
      <c r="F91" s="53"/>
      <c r="H91" s="7"/>
      <c r="I91" s="5"/>
    </row>
    <row r="92" spans="1:9" ht="15.75" x14ac:dyDescent="0.25">
      <c r="A92" s="34"/>
      <c r="B92" s="32"/>
      <c r="C92" s="32"/>
      <c r="D92" s="17"/>
      <c r="E92" s="17"/>
      <c r="F92" s="53"/>
      <c r="I92" s="5"/>
    </row>
    <row r="93" spans="1:9" ht="15.75" x14ac:dyDescent="0.25">
      <c r="A93" s="34"/>
      <c r="B93" s="32"/>
      <c r="C93" s="32"/>
      <c r="D93" s="17"/>
      <c r="E93" s="17"/>
      <c r="F93" s="53"/>
      <c r="H93" s="4"/>
      <c r="I93" s="5"/>
    </row>
    <row r="94" spans="1:9" ht="15.75" x14ac:dyDescent="0.25">
      <c r="A94" s="34"/>
      <c r="B94" s="32"/>
      <c r="C94" s="32"/>
      <c r="D94" s="17"/>
      <c r="E94" s="17"/>
      <c r="F94" s="53"/>
      <c r="H94" s="4"/>
      <c r="I94" s="5"/>
    </row>
    <row r="95" spans="1:9" ht="15.75" x14ac:dyDescent="0.25">
      <c r="A95" s="34"/>
      <c r="B95" s="32"/>
      <c r="C95" s="32"/>
      <c r="D95" s="17"/>
      <c r="E95" s="17"/>
      <c r="F95" s="53"/>
      <c r="I95" s="5"/>
    </row>
    <row r="96" spans="1:9" ht="15.75" x14ac:dyDescent="0.25">
      <c r="A96" s="34"/>
      <c r="B96" s="32"/>
      <c r="C96" s="32"/>
      <c r="D96" s="17"/>
      <c r="E96" s="17"/>
      <c r="F96" s="53"/>
      <c r="I96" s="5"/>
    </row>
    <row r="97" spans="1:9" ht="15.75" x14ac:dyDescent="0.25">
      <c r="A97" s="34"/>
      <c r="B97" s="32"/>
      <c r="C97" s="32"/>
      <c r="D97" s="17"/>
      <c r="E97" s="17"/>
      <c r="F97" s="53"/>
      <c r="H97" s="4"/>
      <c r="I97" s="5"/>
    </row>
    <row r="98" spans="1:9" ht="15.75" x14ac:dyDescent="0.25">
      <c r="A98" s="34"/>
      <c r="B98" s="32"/>
      <c r="C98" s="32"/>
      <c r="D98" s="17"/>
      <c r="E98" s="17"/>
      <c r="F98" s="53"/>
      <c r="H98" s="4"/>
      <c r="I98" s="5"/>
    </row>
    <row r="99" spans="1:9" ht="15.75" x14ac:dyDescent="0.25">
      <c r="A99" s="34"/>
      <c r="B99" s="32"/>
      <c r="C99" s="32"/>
      <c r="D99" s="17"/>
      <c r="E99" s="17"/>
      <c r="F99" s="53"/>
      <c r="H99" s="2"/>
      <c r="I99" s="5"/>
    </row>
    <row r="100" spans="1:9" ht="15.75" x14ac:dyDescent="0.25">
      <c r="A100" s="34"/>
      <c r="B100" s="32"/>
      <c r="C100" s="32"/>
      <c r="D100" s="17"/>
      <c r="E100" s="17"/>
      <c r="F100" s="53"/>
      <c r="H100" s="4"/>
      <c r="I100" s="5"/>
    </row>
    <row r="101" spans="1:9" ht="15.75" x14ac:dyDescent="0.25">
      <c r="A101" s="34"/>
      <c r="B101" s="32"/>
      <c r="C101" s="32"/>
      <c r="D101" s="17"/>
      <c r="E101" s="17"/>
      <c r="F101" s="53"/>
      <c r="I101" s="5"/>
    </row>
    <row r="102" spans="1:9" ht="15.75" x14ac:dyDescent="0.25">
      <c r="A102" s="34"/>
      <c r="B102" s="32"/>
      <c r="C102" s="32"/>
      <c r="D102" s="17"/>
      <c r="E102" s="17"/>
      <c r="F102" s="53"/>
      <c r="G102" s="52"/>
      <c r="I102" s="5"/>
    </row>
    <row r="103" spans="1:9" ht="15.75" x14ac:dyDescent="0.25">
      <c r="A103" s="34"/>
      <c r="B103" s="32"/>
      <c r="C103" s="32"/>
      <c r="D103" s="17"/>
      <c r="E103" s="17"/>
      <c r="F103" s="53"/>
      <c r="G103" s="52"/>
      <c r="H103" s="2"/>
      <c r="I103" s="5"/>
    </row>
    <row r="104" spans="1:9" ht="15.75" x14ac:dyDescent="0.25">
      <c r="A104" s="34"/>
      <c r="B104" s="32"/>
      <c r="C104" s="32"/>
      <c r="D104" s="17"/>
      <c r="E104" s="17"/>
      <c r="F104" s="53"/>
      <c r="G104" s="52"/>
      <c r="H104" s="9"/>
      <c r="I104" s="5"/>
    </row>
    <row r="105" spans="1:9" ht="15.75" x14ac:dyDescent="0.25">
      <c r="A105" s="34"/>
      <c r="B105" s="32"/>
      <c r="C105" s="32"/>
      <c r="D105" s="17"/>
      <c r="E105" s="17"/>
      <c r="F105" s="53"/>
      <c r="G105" s="52"/>
      <c r="H105" s="2"/>
      <c r="I105" s="5"/>
    </row>
    <row r="106" spans="1:9" ht="15.75" x14ac:dyDescent="0.25">
      <c r="A106" s="34"/>
      <c r="B106" s="32"/>
      <c r="C106" s="32"/>
      <c r="D106" s="17"/>
      <c r="E106" s="17"/>
      <c r="F106" s="53"/>
      <c r="G106" s="52"/>
      <c r="H106" s="2"/>
      <c r="I106" s="5"/>
    </row>
    <row r="107" spans="1:9" ht="15.75" x14ac:dyDescent="0.25">
      <c r="A107" s="34"/>
      <c r="B107" s="32"/>
      <c r="C107" s="32"/>
      <c r="D107" s="17"/>
      <c r="E107" s="17"/>
      <c r="F107" s="53"/>
      <c r="G107" s="52"/>
      <c r="H107" s="2"/>
      <c r="I107" s="5"/>
    </row>
    <row r="108" spans="1:9" ht="15.75" x14ac:dyDescent="0.25">
      <c r="A108" s="34"/>
      <c r="B108" s="32"/>
      <c r="C108" s="32"/>
      <c r="D108" s="17"/>
      <c r="E108" s="17"/>
      <c r="F108" s="53"/>
      <c r="G108" s="52"/>
      <c r="H108" s="2"/>
      <c r="I108" s="5"/>
    </row>
    <row r="109" spans="1:9" ht="15.75" x14ac:dyDescent="0.25">
      <c r="A109" s="34"/>
      <c r="B109" s="32"/>
      <c r="C109" s="32"/>
      <c r="D109" s="17"/>
      <c r="E109" s="17"/>
      <c r="F109" s="53"/>
      <c r="G109" s="52"/>
      <c r="H109" s="2"/>
      <c r="I109" s="5"/>
    </row>
    <row r="110" spans="1:9" ht="15.75" x14ac:dyDescent="0.25">
      <c r="A110" s="34"/>
      <c r="B110" s="32"/>
      <c r="C110" s="32"/>
      <c r="D110" s="17"/>
      <c r="E110" s="17"/>
      <c r="F110" s="53"/>
      <c r="I110" s="5"/>
    </row>
    <row r="111" spans="1:9" ht="15.75" x14ac:dyDescent="0.25">
      <c r="A111" s="34"/>
      <c r="B111" s="32"/>
      <c r="C111" s="32"/>
      <c r="D111" s="17"/>
      <c r="E111" s="17"/>
      <c r="F111" s="53"/>
      <c r="I111" s="5"/>
    </row>
    <row r="112" spans="1:9" ht="15.75" x14ac:dyDescent="0.25">
      <c r="A112" s="34"/>
      <c r="B112" s="32"/>
      <c r="C112" s="32"/>
      <c r="D112" s="17"/>
      <c r="E112" s="17"/>
      <c r="F112" s="53"/>
      <c r="H112" s="4"/>
      <c r="I112" s="5"/>
    </row>
    <row r="113" spans="1:9" ht="15.75" x14ac:dyDescent="0.25">
      <c r="A113" s="34"/>
      <c r="B113" s="32"/>
      <c r="C113" s="32"/>
      <c r="D113" s="17"/>
      <c r="E113" s="17"/>
      <c r="F113" s="53"/>
      <c r="H113" s="8"/>
      <c r="I113" s="5"/>
    </row>
    <row r="114" spans="1:9" ht="15.75" x14ac:dyDescent="0.25">
      <c r="A114" s="34"/>
      <c r="B114" s="32"/>
      <c r="C114" s="32"/>
      <c r="D114" s="17"/>
      <c r="E114" s="17"/>
      <c r="F114" s="53"/>
      <c r="H114" s="2"/>
      <c r="I114" s="5"/>
    </row>
    <row r="115" spans="1:9" ht="15.75" x14ac:dyDescent="0.25">
      <c r="A115" s="34"/>
      <c r="B115" s="32"/>
      <c r="C115" s="32"/>
      <c r="D115" s="17"/>
      <c r="E115" s="17"/>
      <c r="F115" s="53"/>
      <c r="H115" s="4"/>
      <c r="I115" s="5"/>
    </row>
    <row r="116" spans="1:9" ht="15.75" x14ac:dyDescent="0.25">
      <c r="A116" s="34"/>
      <c r="B116" s="32"/>
      <c r="C116" s="32"/>
      <c r="D116" s="17"/>
      <c r="E116" s="17"/>
      <c r="F116" s="53"/>
      <c r="H116" s="4"/>
      <c r="I116" s="5"/>
    </row>
    <row r="117" spans="1:9" ht="15.75" x14ac:dyDescent="0.25">
      <c r="A117" s="34"/>
      <c r="B117" s="32"/>
      <c r="C117" s="32"/>
      <c r="D117" s="17"/>
      <c r="E117" s="17"/>
      <c r="F117" s="53"/>
      <c r="I117" s="5"/>
    </row>
    <row r="118" spans="1:9" ht="15.75" x14ac:dyDescent="0.25">
      <c r="A118" s="34"/>
      <c r="B118" s="32"/>
      <c r="C118" s="32"/>
      <c r="D118" s="17"/>
      <c r="E118" s="17"/>
      <c r="F118" s="53"/>
      <c r="G118" s="52"/>
      <c r="I118" s="5"/>
    </row>
    <row r="119" spans="1:9" ht="15.75" x14ac:dyDescent="0.25">
      <c r="A119" s="34"/>
      <c r="B119" s="32"/>
      <c r="C119" s="32"/>
      <c r="D119" s="17"/>
      <c r="E119" s="17"/>
      <c r="F119" s="53"/>
      <c r="G119" s="52"/>
      <c r="H119" s="9"/>
      <c r="I119" s="5"/>
    </row>
    <row r="120" spans="1:9" ht="15.75" x14ac:dyDescent="0.25">
      <c r="A120" s="34"/>
      <c r="B120" s="32"/>
      <c r="C120" s="32"/>
      <c r="D120" s="17"/>
      <c r="E120" s="17"/>
      <c r="F120" s="53"/>
      <c r="G120" s="52"/>
      <c r="H120" s="2"/>
      <c r="I120" s="5"/>
    </row>
    <row r="121" spans="1:9" ht="15.75" x14ac:dyDescent="0.25">
      <c r="A121" s="34"/>
      <c r="B121" s="32"/>
      <c r="C121" s="32"/>
      <c r="D121" s="17"/>
      <c r="E121" s="17"/>
      <c r="F121" s="53"/>
      <c r="G121" s="52"/>
      <c r="H121" s="2"/>
      <c r="I121" s="5"/>
    </row>
    <row r="122" spans="1:9" ht="15.75" x14ac:dyDescent="0.25">
      <c r="A122" s="34"/>
      <c r="B122" s="32"/>
      <c r="C122" s="32"/>
      <c r="D122" s="17"/>
      <c r="E122" s="17"/>
      <c r="F122" s="53"/>
      <c r="G122" s="52"/>
      <c r="H122" s="2"/>
      <c r="I122" s="5"/>
    </row>
    <row r="123" spans="1:9" ht="15.75" x14ac:dyDescent="0.25">
      <c r="A123" s="34"/>
      <c r="B123" s="32"/>
      <c r="C123" s="32"/>
      <c r="D123" s="17"/>
      <c r="E123" s="17"/>
      <c r="F123" s="53"/>
      <c r="G123" s="52"/>
      <c r="H123" s="2"/>
      <c r="I123" s="5"/>
    </row>
    <row r="124" spans="1:9" ht="15.75" x14ac:dyDescent="0.25">
      <c r="A124" s="34"/>
      <c r="B124" s="32"/>
      <c r="C124" s="32"/>
      <c r="D124" s="17"/>
      <c r="E124" s="17"/>
      <c r="F124" s="53"/>
      <c r="G124" s="52"/>
      <c r="I124" s="5"/>
    </row>
    <row r="125" spans="1:9" ht="15.75" x14ac:dyDescent="0.25">
      <c r="A125" s="34"/>
      <c r="B125" s="32"/>
      <c r="C125" s="32"/>
      <c r="D125" s="17"/>
      <c r="E125" s="17"/>
      <c r="F125" s="53"/>
      <c r="G125" s="52"/>
      <c r="I125" s="5"/>
    </row>
    <row r="126" spans="1:9" ht="15.75" x14ac:dyDescent="0.25">
      <c r="A126" s="34"/>
      <c r="B126" s="32"/>
      <c r="C126" s="32"/>
      <c r="D126" s="17"/>
      <c r="E126" s="17"/>
      <c r="F126" s="53"/>
      <c r="G126" s="52"/>
      <c r="H126" s="2"/>
      <c r="I126" s="5"/>
    </row>
    <row r="127" spans="1:9" ht="15.75" x14ac:dyDescent="0.25">
      <c r="A127" s="34"/>
      <c r="B127" s="32"/>
      <c r="C127" s="32"/>
      <c r="D127" s="17"/>
      <c r="E127" s="17"/>
      <c r="F127" s="53"/>
      <c r="H127" s="7"/>
      <c r="I127" s="5"/>
    </row>
    <row r="128" spans="1:9" ht="15.75" x14ac:dyDescent="0.25">
      <c r="A128" s="34"/>
      <c r="B128" s="32"/>
      <c r="C128" s="32"/>
      <c r="D128" s="17"/>
      <c r="E128" s="17"/>
      <c r="F128" s="53"/>
      <c r="I128" s="5"/>
    </row>
    <row r="129" spans="1:9" ht="15.75" x14ac:dyDescent="0.25">
      <c r="A129" s="34"/>
      <c r="B129" s="32"/>
      <c r="C129" s="32"/>
      <c r="D129" s="17"/>
      <c r="E129" s="17"/>
      <c r="F129" s="53"/>
      <c r="H129" s="4"/>
      <c r="I129" s="5"/>
    </row>
    <row r="130" spans="1:9" ht="15.75" x14ac:dyDescent="0.25">
      <c r="A130" s="34"/>
      <c r="B130" s="32"/>
      <c r="C130" s="32"/>
      <c r="D130" s="17"/>
      <c r="E130" s="17"/>
      <c r="F130" s="53"/>
      <c r="H130" s="4"/>
      <c r="I130" s="5"/>
    </row>
    <row r="131" spans="1:9" ht="15.75" x14ac:dyDescent="0.25">
      <c r="A131" s="34"/>
      <c r="B131" s="32"/>
      <c r="C131" s="32"/>
      <c r="D131" s="17"/>
      <c r="E131" s="17"/>
      <c r="F131" s="53"/>
      <c r="H131" s="4"/>
      <c r="I131" s="5"/>
    </row>
    <row r="132" spans="1:9" ht="15.75" x14ac:dyDescent="0.25">
      <c r="A132" s="34"/>
      <c r="B132" s="32"/>
      <c r="C132" s="32"/>
      <c r="D132" s="17"/>
      <c r="E132" s="17"/>
      <c r="F132" s="53"/>
      <c r="H132" s="4"/>
      <c r="I132" s="5"/>
    </row>
    <row r="133" spans="1:9" ht="15.75" x14ac:dyDescent="0.25">
      <c r="A133" s="34"/>
      <c r="B133" s="32"/>
      <c r="C133" s="32"/>
      <c r="D133" s="17"/>
      <c r="E133" s="17"/>
      <c r="F133" s="53"/>
      <c r="H133" s="4"/>
      <c r="I133" s="5"/>
    </row>
    <row r="134" spans="1:9" ht="15.75" x14ac:dyDescent="0.25">
      <c r="A134" s="34"/>
      <c r="B134" s="32"/>
      <c r="C134" s="32"/>
      <c r="D134" s="17"/>
      <c r="E134" s="17"/>
      <c r="F134" s="53"/>
      <c r="H134" s="7"/>
      <c r="I134" s="5"/>
    </row>
    <row r="135" spans="1:9" ht="15.75" x14ac:dyDescent="0.25">
      <c r="A135" s="34"/>
      <c r="B135" s="32"/>
      <c r="C135" s="32"/>
      <c r="D135" s="17"/>
      <c r="E135" s="17"/>
      <c r="F135" s="53"/>
      <c r="H135" s="7"/>
      <c r="I135" s="5"/>
    </row>
    <row r="136" spans="1:9" ht="15.75" x14ac:dyDescent="0.25">
      <c r="A136" s="34"/>
      <c r="B136" s="32"/>
      <c r="C136" s="32"/>
      <c r="D136" s="17"/>
      <c r="E136" s="17"/>
      <c r="F136" s="53"/>
      <c r="G136" s="52"/>
      <c r="H136" s="2"/>
      <c r="I136" s="5"/>
    </row>
    <row r="137" spans="1:9" ht="15.75" x14ac:dyDescent="0.25">
      <c r="A137" s="34"/>
      <c r="B137" s="32"/>
      <c r="C137" s="32"/>
      <c r="D137" s="17"/>
      <c r="E137" s="17"/>
      <c r="F137" s="53"/>
      <c r="G137" s="52"/>
      <c r="H137" s="2"/>
      <c r="I137" s="5"/>
    </row>
    <row r="138" spans="1:9" ht="15.75" x14ac:dyDescent="0.25">
      <c r="A138" s="34"/>
      <c r="B138" s="32"/>
      <c r="C138" s="32"/>
      <c r="D138" s="17"/>
      <c r="E138" s="17"/>
      <c r="F138" s="53"/>
      <c r="G138" s="52"/>
      <c r="H138" s="9"/>
      <c r="I138" s="5"/>
    </row>
    <row r="139" spans="1:9" ht="15.75" x14ac:dyDescent="0.25">
      <c r="A139" s="34"/>
      <c r="B139" s="32"/>
      <c r="C139" s="32"/>
      <c r="D139" s="17"/>
      <c r="E139" s="17"/>
      <c r="F139" s="53"/>
      <c r="G139" s="52"/>
      <c r="H139" s="2"/>
      <c r="I139" s="5"/>
    </row>
    <row r="140" spans="1:9" ht="15.75" x14ac:dyDescent="0.25">
      <c r="A140" s="34"/>
      <c r="B140" s="32"/>
      <c r="C140" s="32"/>
      <c r="D140" s="17"/>
      <c r="E140" s="17"/>
      <c r="F140" s="53"/>
      <c r="G140" s="52"/>
      <c r="I140" s="5"/>
    </row>
    <row r="141" spans="1:9" ht="15.75" x14ac:dyDescent="0.25">
      <c r="A141" s="34"/>
      <c r="B141" s="32"/>
      <c r="C141" s="32"/>
      <c r="D141" s="17"/>
      <c r="E141" s="17"/>
      <c r="F141" s="53"/>
      <c r="G141" s="52"/>
      <c r="I141" s="5"/>
    </row>
    <row r="142" spans="1:9" ht="15.75" x14ac:dyDescent="0.25">
      <c r="A142" s="34"/>
      <c r="B142" s="32"/>
      <c r="C142" s="32"/>
      <c r="D142" s="17"/>
      <c r="E142" s="17"/>
      <c r="F142" s="53"/>
      <c r="G142" s="52"/>
      <c r="H142" s="2"/>
      <c r="I142" s="5"/>
    </row>
    <row r="143" spans="1:9" ht="15.75" x14ac:dyDescent="0.25">
      <c r="A143" s="34"/>
      <c r="B143" s="32"/>
      <c r="C143" s="32"/>
      <c r="D143" s="17"/>
      <c r="E143" s="17"/>
      <c r="F143" s="53"/>
      <c r="G143" s="52"/>
      <c r="H143" s="2"/>
      <c r="I143" s="5"/>
    </row>
    <row r="144" spans="1:9" ht="15.75" x14ac:dyDescent="0.25">
      <c r="A144" s="34"/>
      <c r="B144" s="32"/>
      <c r="C144" s="32"/>
      <c r="D144" s="17"/>
      <c r="E144" s="17"/>
      <c r="F144" s="53"/>
      <c r="H144" s="7"/>
      <c r="I144" s="5"/>
    </row>
    <row r="145" spans="1:9" ht="15.75" x14ac:dyDescent="0.25">
      <c r="A145" s="34"/>
      <c r="B145" s="32"/>
      <c r="C145" s="32"/>
      <c r="D145" s="17"/>
      <c r="E145" s="17"/>
      <c r="F145" s="53"/>
      <c r="G145" s="52"/>
      <c r="I145" s="5"/>
    </row>
    <row r="146" spans="1:9" ht="15.75" x14ac:dyDescent="0.25">
      <c r="A146" s="34"/>
      <c r="B146" s="32"/>
      <c r="C146" s="32"/>
      <c r="D146" s="17"/>
      <c r="E146" s="17"/>
      <c r="F146" s="53"/>
      <c r="G146" s="52"/>
      <c r="H146" s="9"/>
      <c r="I146" s="5"/>
    </row>
    <row r="147" spans="1:9" ht="15.75" x14ac:dyDescent="0.25">
      <c r="A147" s="34"/>
      <c r="B147" s="32"/>
      <c r="C147" s="32"/>
      <c r="D147" s="17"/>
      <c r="E147" s="17"/>
      <c r="F147" s="53"/>
      <c r="G147" s="52"/>
      <c r="I147" s="5"/>
    </row>
    <row r="148" spans="1:9" ht="15.75" x14ac:dyDescent="0.25">
      <c r="A148" s="34"/>
      <c r="B148" s="32"/>
      <c r="C148" s="32"/>
      <c r="D148" s="17"/>
      <c r="E148" s="17"/>
      <c r="F148" s="53"/>
      <c r="G148" s="52"/>
      <c r="I148" s="5"/>
    </row>
    <row r="149" spans="1:9" ht="15.75" x14ac:dyDescent="0.25">
      <c r="A149" s="34"/>
      <c r="B149" s="32"/>
      <c r="C149" s="32"/>
      <c r="D149" s="17"/>
      <c r="E149" s="17"/>
      <c r="F149" s="53"/>
      <c r="G149" s="52"/>
      <c r="I149" s="5"/>
    </row>
    <row r="150" spans="1:9" ht="15.75" x14ac:dyDescent="0.25">
      <c r="A150" s="34"/>
      <c r="B150" s="32"/>
      <c r="C150" s="32"/>
      <c r="D150" s="17"/>
      <c r="E150" s="17"/>
      <c r="F150" s="53"/>
      <c r="H150" s="7"/>
      <c r="I150" s="5"/>
    </row>
    <row r="151" spans="1:9" ht="15.75" x14ac:dyDescent="0.25">
      <c r="A151" s="34"/>
      <c r="B151" s="32"/>
      <c r="C151" s="32"/>
      <c r="D151" s="17"/>
      <c r="E151" s="17"/>
      <c r="F151" s="53"/>
      <c r="I151" s="5"/>
    </row>
    <row r="152" spans="1:9" ht="15.75" x14ac:dyDescent="0.25">
      <c r="A152" s="34"/>
      <c r="B152" s="32"/>
      <c r="C152" s="32"/>
      <c r="D152" s="17"/>
      <c r="E152" s="17"/>
      <c r="F152" s="53"/>
      <c r="I152" s="5"/>
    </row>
    <row r="153" spans="1:9" ht="15.75" x14ac:dyDescent="0.25">
      <c r="A153" s="34"/>
      <c r="B153" s="32"/>
      <c r="C153" s="32"/>
      <c r="D153" s="17"/>
      <c r="E153" s="17"/>
      <c r="F153" s="53"/>
      <c r="I153" s="5"/>
    </row>
    <row r="154" spans="1:9" ht="15.75" x14ac:dyDescent="0.25">
      <c r="A154" s="34"/>
      <c r="B154" s="32"/>
      <c r="C154" s="32"/>
      <c r="D154" s="17"/>
      <c r="E154" s="17"/>
      <c r="F154" s="53"/>
      <c r="I154" s="5"/>
    </row>
    <row r="155" spans="1:9" ht="15.75" x14ac:dyDescent="0.25">
      <c r="A155" s="34"/>
      <c r="B155" s="32"/>
      <c r="C155" s="32"/>
      <c r="D155" s="17"/>
      <c r="E155" s="17"/>
      <c r="F155" s="53"/>
      <c r="I155" s="5"/>
    </row>
    <row r="156" spans="1:9" ht="15.75" x14ac:dyDescent="0.25">
      <c r="A156" s="34"/>
      <c r="B156" s="32"/>
      <c r="C156" s="32"/>
      <c r="D156" s="17"/>
      <c r="E156" s="17"/>
      <c r="F156" s="53"/>
      <c r="I156" s="5"/>
    </row>
    <row r="157" spans="1:9" ht="15.75" x14ac:dyDescent="0.25">
      <c r="A157" s="34"/>
      <c r="B157" s="32"/>
      <c r="C157" s="32"/>
      <c r="D157" s="17"/>
      <c r="E157" s="17"/>
      <c r="F157" s="53"/>
      <c r="I157" s="5"/>
    </row>
    <row r="158" spans="1:9" ht="15.75" x14ac:dyDescent="0.25">
      <c r="A158" s="34"/>
      <c r="B158" s="32"/>
      <c r="C158" s="32"/>
      <c r="D158" s="17"/>
      <c r="E158" s="17"/>
      <c r="F158" s="53"/>
      <c r="H158" s="7"/>
      <c r="I158" s="5"/>
    </row>
    <row r="159" spans="1:9" ht="15.75" x14ac:dyDescent="0.25">
      <c r="A159" s="34"/>
      <c r="B159" s="32"/>
      <c r="C159" s="32"/>
      <c r="D159" s="17"/>
      <c r="E159" s="17"/>
      <c r="F159" s="53"/>
      <c r="H159" s="4"/>
      <c r="I159" s="5"/>
    </row>
    <row r="160" spans="1:9" ht="15.75" x14ac:dyDescent="0.25">
      <c r="A160" s="34"/>
      <c r="B160" s="32"/>
      <c r="C160" s="32"/>
      <c r="D160" s="17"/>
      <c r="E160" s="17"/>
      <c r="F160" s="53"/>
      <c r="I160" s="5"/>
    </row>
    <row r="161" spans="1:9" ht="15.75" x14ac:dyDescent="0.25">
      <c r="A161" s="34"/>
      <c r="B161" s="32"/>
      <c r="C161" s="32"/>
      <c r="D161" s="17"/>
      <c r="E161" s="17"/>
      <c r="F161" s="53"/>
      <c r="I161" s="5"/>
    </row>
    <row r="162" spans="1:9" ht="15.75" x14ac:dyDescent="0.25">
      <c r="A162" s="34"/>
      <c r="B162" s="32"/>
      <c r="C162" s="32"/>
      <c r="D162" s="17"/>
      <c r="E162" s="17"/>
      <c r="F162" s="53"/>
      <c r="H162" s="4"/>
      <c r="I162" s="5"/>
    </row>
    <row r="163" spans="1:9" ht="15.75" x14ac:dyDescent="0.25">
      <c r="A163" s="34"/>
      <c r="B163" s="32"/>
      <c r="C163" s="32"/>
      <c r="D163" s="17"/>
      <c r="E163" s="17"/>
      <c r="F163" s="53"/>
      <c r="H163" s="4"/>
      <c r="I163" s="5"/>
    </row>
    <row r="164" spans="1:9" ht="15.75" x14ac:dyDescent="0.25">
      <c r="A164" s="34"/>
      <c r="B164" s="32"/>
      <c r="C164" s="32"/>
      <c r="D164" s="17"/>
      <c r="E164" s="17"/>
      <c r="F164" s="53"/>
      <c r="I164" s="5"/>
    </row>
    <row r="165" spans="1:9" ht="15.75" x14ac:dyDescent="0.25">
      <c r="A165" s="34"/>
      <c r="B165" s="32"/>
      <c r="C165" s="32"/>
      <c r="D165" s="17"/>
      <c r="E165" s="17"/>
      <c r="F165" s="53"/>
      <c r="I165" s="5"/>
    </row>
    <row r="166" spans="1:9" ht="15.75" x14ac:dyDescent="0.25">
      <c r="A166" s="34"/>
      <c r="B166" s="32"/>
      <c r="C166" s="32"/>
      <c r="D166" s="17"/>
      <c r="E166" s="17"/>
      <c r="F166" s="53"/>
      <c r="H166" s="7"/>
      <c r="I166" s="5"/>
    </row>
    <row r="167" spans="1:9" ht="15.75" x14ac:dyDescent="0.25">
      <c r="A167" s="34"/>
      <c r="B167" s="35"/>
      <c r="C167" s="35"/>
      <c r="D167" s="18"/>
      <c r="E167" s="18"/>
      <c r="F167" s="55"/>
      <c r="H167" s="7"/>
      <c r="I167" s="10"/>
    </row>
    <row r="168" spans="1:9" x14ac:dyDescent="0.25">
      <c r="A168" s="34"/>
    </row>
    <row r="169" spans="1:9" x14ac:dyDescent="0.25">
      <c r="A169" s="33"/>
    </row>
    <row r="170" spans="1:9" x14ac:dyDescent="0.25">
      <c r="A170" s="33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6719-475C-41D2-A707-ABECE807818F}">
  <dimension ref="A1:I54"/>
  <sheetViews>
    <sheetView zoomScale="150" zoomScaleNormal="150" workbookViewId="0">
      <selection activeCell="D19" sqref="D19"/>
    </sheetView>
  </sheetViews>
  <sheetFormatPr defaultRowHeight="15" x14ac:dyDescent="0.25"/>
  <cols>
    <col min="1" max="1" width="9.140625" style="1"/>
    <col min="2" max="2" width="19.7109375" style="14" customWidth="1"/>
    <col min="3" max="3" width="24.85546875" style="14" customWidth="1"/>
    <col min="4" max="4" width="27.140625" style="3" customWidth="1"/>
    <col min="5" max="5" width="76.42578125" style="1" bestFit="1" customWidth="1"/>
    <col min="6" max="6" width="18.42578125" style="12" customWidth="1"/>
    <col min="7" max="7" width="20.140625" style="12" customWidth="1"/>
    <col min="8" max="8" width="49.28515625" style="1" customWidth="1"/>
    <col min="9" max="9" width="20.5703125" style="1" bestFit="1" customWidth="1"/>
  </cols>
  <sheetData>
    <row r="1" spans="1:9" x14ac:dyDescent="0.25">
      <c r="A1" s="1" t="s">
        <v>0</v>
      </c>
      <c r="B1" s="14" t="s">
        <v>1</v>
      </c>
      <c r="C1" s="14" t="s">
        <v>2</v>
      </c>
      <c r="D1" s="3" t="s">
        <v>3</v>
      </c>
      <c r="E1" s="1" t="s">
        <v>4</v>
      </c>
      <c r="F1" s="12" t="s">
        <v>5</v>
      </c>
      <c r="G1" s="12" t="s">
        <v>6</v>
      </c>
      <c r="H1" s="1" t="s">
        <v>31</v>
      </c>
      <c r="I1" s="1" t="s">
        <v>38</v>
      </c>
    </row>
    <row r="2" spans="1:9" x14ac:dyDescent="0.25">
      <c r="A2" s="1">
        <v>1</v>
      </c>
      <c r="B2" s="14">
        <v>46175</v>
      </c>
      <c r="E2" s="1" t="s">
        <v>39</v>
      </c>
      <c r="F2" s="12">
        <v>18000</v>
      </c>
      <c r="H2" s="1" t="s">
        <v>92</v>
      </c>
      <c r="I2" s="1" t="s">
        <v>108</v>
      </c>
    </row>
    <row r="3" spans="1:9" x14ac:dyDescent="0.25">
      <c r="A3" s="1">
        <v>2</v>
      </c>
      <c r="B3" s="14">
        <v>46175</v>
      </c>
      <c r="E3" s="1" t="s">
        <v>40</v>
      </c>
      <c r="F3" s="12">
        <v>5390</v>
      </c>
      <c r="H3" s="36" t="s">
        <v>93</v>
      </c>
      <c r="I3" s="1" t="s">
        <v>108</v>
      </c>
    </row>
    <row r="4" spans="1:9" x14ac:dyDescent="0.25">
      <c r="A4" s="1">
        <v>3</v>
      </c>
      <c r="B4" s="14">
        <v>46175</v>
      </c>
      <c r="E4" s="1" t="s">
        <v>41</v>
      </c>
      <c r="F4" s="12">
        <v>25000</v>
      </c>
      <c r="H4" s="1" t="s">
        <v>94</v>
      </c>
      <c r="I4" s="1" t="s">
        <v>108</v>
      </c>
    </row>
    <row r="5" spans="1:9" x14ac:dyDescent="0.25">
      <c r="A5" s="1">
        <v>4</v>
      </c>
      <c r="B5" s="14">
        <v>46176</v>
      </c>
      <c r="E5" s="1" t="s">
        <v>42</v>
      </c>
      <c r="F5" s="12">
        <v>1400</v>
      </c>
      <c r="H5" s="36" t="s">
        <v>95</v>
      </c>
      <c r="I5" s="1" t="s">
        <v>108</v>
      </c>
    </row>
    <row r="6" spans="1:9" x14ac:dyDescent="0.25">
      <c r="A6" s="1">
        <v>5</v>
      </c>
      <c r="B6" s="14">
        <v>46177</v>
      </c>
      <c r="E6" s="1" t="s">
        <v>43</v>
      </c>
      <c r="G6" s="12">
        <v>353414</v>
      </c>
      <c r="H6" s="1" t="s">
        <v>44</v>
      </c>
      <c r="I6" s="1" t="s">
        <v>108</v>
      </c>
    </row>
    <row r="7" spans="1:9" x14ac:dyDescent="0.25">
      <c r="A7" s="1">
        <v>6</v>
      </c>
      <c r="B7" s="14">
        <v>46177</v>
      </c>
      <c r="E7" s="1" t="s">
        <v>45</v>
      </c>
      <c r="F7" s="12">
        <v>1320</v>
      </c>
      <c r="H7" s="1" t="s">
        <v>92</v>
      </c>
      <c r="I7" s="1" t="s">
        <v>108</v>
      </c>
    </row>
    <row r="8" spans="1:9" x14ac:dyDescent="0.25">
      <c r="A8" s="1">
        <v>7</v>
      </c>
      <c r="B8" s="14">
        <v>46178</v>
      </c>
      <c r="E8" s="1" t="s">
        <v>46</v>
      </c>
      <c r="F8" s="12">
        <v>350000</v>
      </c>
      <c r="H8" s="1" t="s">
        <v>32</v>
      </c>
      <c r="I8" s="1" t="s">
        <v>108</v>
      </c>
    </row>
    <row r="9" spans="1:9" x14ac:dyDescent="0.25">
      <c r="A9" s="1">
        <v>8</v>
      </c>
      <c r="B9" s="14">
        <v>46178</v>
      </c>
      <c r="E9" s="1" t="s">
        <v>47</v>
      </c>
      <c r="F9" s="12">
        <v>900</v>
      </c>
      <c r="H9" s="1" t="s">
        <v>96</v>
      </c>
      <c r="I9" s="1" t="s">
        <v>108</v>
      </c>
    </row>
    <row r="10" spans="1:9" x14ac:dyDescent="0.25">
      <c r="A10" s="1">
        <v>9</v>
      </c>
      <c r="B10" s="14">
        <v>46178</v>
      </c>
      <c r="E10" s="1" t="s">
        <v>48</v>
      </c>
      <c r="F10" s="12">
        <v>1600</v>
      </c>
      <c r="H10" s="36" t="s">
        <v>97</v>
      </c>
      <c r="I10" s="1" t="s">
        <v>108</v>
      </c>
    </row>
    <row r="11" spans="1:9" x14ac:dyDescent="0.25">
      <c r="A11" s="1">
        <v>10</v>
      </c>
      <c r="B11" s="14">
        <v>46179</v>
      </c>
      <c r="E11" s="1" t="s">
        <v>49</v>
      </c>
      <c r="F11" s="12">
        <v>2690</v>
      </c>
      <c r="H11" s="1" t="s">
        <v>50</v>
      </c>
      <c r="I11" s="1" t="s">
        <v>108</v>
      </c>
    </row>
    <row r="12" spans="1:9" x14ac:dyDescent="0.25">
      <c r="A12" s="1">
        <v>11</v>
      </c>
      <c r="B12" s="14">
        <v>46180</v>
      </c>
      <c r="E12" s="1" t="s">
        <v>51</v>
      </c>
      <c r="G12" s="12">
        <v>417590</v>
      </c>
      <c r="H12" s="1" t="s">
        <v>98</v>
      </c>
      <c r="I12" s="1" t="s">
        <v>108</v>
      </c>
    </row>
    <row r="13" spans="1:9" x14ac:dyDescent="0.25">
      <c r="A13" s="1">
        <v>12</v>
      </c>
      <c r="B13" s="14">
        <v>46181</v>
      </c>
      <c r="E13" s="1" t="s">
        <v>52</v>
      </c>
      <c r="F13" s="12">
        <v>226512</v>
      </c>
      <c r="H13" s="1" t="s">
        <v>99</v>
      </c>
      <c r="I13" s="1" t="s">
        <v>108</v>
      </c>
    </row>
    <row r="14" spans="1:9" x14ac:dyDescent="0.25">
      <c r="A14" s="1">
        <v>13</v>
      </c>
      <c r="B14" s="14">
        <v>46182</v>
      </c>
      <c r="E14" s="1" t="s">
        <v>53</v>
      </c>
      <c r="F14" s="12">
        <v>21950</v>
      </c>
      <c r="H14" s="1" t="s">
        <v>100</v>
      </c>
      <c r="I14" s="1" t="s">
        <v>108</v>
      </c>
    </row>
    <row r="15" spans="1:9" x14ac:dyDescent="0.25">
      <c r="A15" s="1">
        <v>14</v>
      </c>
      <c r="B15" s="14">
        <v>46182</v>
      </c>
      <c r="E15" s="1" t="s">
        <v>54</v>
      </c>
      <c r="F15" s="12">
        <v>21950</v>
      </c>
      <c r="H15" s="1" t="s">
        <v>100</v>
      </c>
      <c r="I15" s="1" t="s">
        <v>108</v>
      </c>
    </row>
    <row r="16" spans="1:9" x14ac:dyDescent="0.25">
      <c r="A16" s="1">
        <v>15</v>
      </c>
      <c r="B16" s="14">
        <v>46182</v>
      </c>
      <c r="E16" s="1" t="s">
        <v>55</v>
      </c>
      <c r="F16" s="12">
        <v>350000</v>
      </c>
      <c r="H16" s="1" t="s">
        <v>32</v>
      </c>
      <c r="I16" s="1" t="s">
        <v>108</v>
      </c>
    </row>
    <row r="17" spans="1:9" x14ac:dyDescent="0.25">
      <c r="A17" s="1">
        <v>16</v>
      </c>
      <c r="B17" s="14">
        <v>46182</v>
      </c>
      <c r="E17" s="1" t="s">
        <v>56</v>
      </c>
      <c r="F17" s="12">
        <v>10000</v>
      </c>
      <c r="H17" s="1" t="s">
        <v>100</v>
      </c>
      <c r="I17" s="1" t="s">
        <v>108</v>
      </c>
    </row>
    <row r="18" spans="1:9" x14ac:dyDescent="0.25">
      <c r="A18" s="1">
        <v>17</v>
      </c>
      <c r="B18" s="14">
        <v>46182</v>
      </c>
      <c r="E18" s="1" t="s">
        <v>57</v>
      </c>
      <c r="G18" s="12">
        <v>362685</v>
      </c>
      <c r="H18" s="1" t="s">
        <v>44</v>
      </c>
      <c r="I18" s="1" t="s">
        <v>108</v>
      </c>
    </row>
    <row r="19" spans="1:9" x14ac:dyDescent="0.25">
      <c r="A19" s="1">
        <v>18</v>
      </c>
      <c r="B19" s="14">
        <v>46184</v>
      </c>
      <c r="E19" s="1" t="s">
        <v>58</v>
      </c>
      <c r="F19" s="12">
        <v>2680</v>
      </c>
      <c r="H19" s="1" t="s">
        <v>101</v>
      </c>
      <c r="I19" s="1" t="s">
        <v>108</v>
      </c>
    </row>
    <row r="20" spans="1:9" x14ac:dyDescent="0.25">
      <c r="A20" s="1">
        <v>19</v>
      </c>
      <c r="B20" s="14">
        <v>46184</v>
      </c>
      <c r="E20" s="1" t="s">
        <v>59</v>
      </c>
      <c r="F20" s="12">
        <v>1000</v>
      </c>
      <c r="H20" s="45" t="s">
        <v>92</v>
      </c>
      <c r="I20" s="1" t="s">
        <v>108</v>
      </c>
    </row>
    <row r="21" spans="1:9" x14ac:dyDescent="0.25">
      <c r="A21" s="1">
        <v>20</v>
      </c>
      <c r="B21" s="14">
        <v>46187</v>
      </c>
      <c r="E21" s="1" t="s">
        <v>60</v>
      </c>
      <c r="F21" s="12">
        <v>4925</v>
      </c>
      <c r="H21" s="36" t="s">
        <v>93</v>
      </c>
      <c r="I21" s="1" t="s">
        <v>108</v>
      </c>
    </row>
    <row r="22" spans="1:9" x14ac:dyDescent="0.25">
      <c r="A22" s="1">
        <v>21</v>
      </c>
      <c r="B22" s="14">
        <v>46187</v>
      </c>
      <c r="E22" s="1" t="s">
        <v>61</v>
      </c>
      <c r="G22" s="12">
        <v>63718</v>
      </c>
      <c r="H22" s="1" t="s">
        <v>62</v>
      </c>
      <c r="I22" s="1" t="s">
        <v>108</v>
      </c>
    </row>
    <row r="23" spans="1:9" x14ac:dyDescent="0.25">
      <c r="A23" s="1">
        <v>22</v>
      </c>
      <c r="B23" s="14">
        <v>46188</v>
      </c>
      <c r="E23" s="1" t="s">
        <v>63</v>
      </c>
      <c r="F23" s="12">
        <v>216525</v>
      </c>
      <c r="H23" s="1" t="s">
        <v>99</v>
      </c>
      <c r="I23" s="1" t="s">
        <v>108</v>
      </c>
    </row>
    <row r="24" spans="1:9" x14ac:dyDescent="0.25">
      <c r="A24" s="1">
        <v>23</v>
      </c>
      <c r="B24" s="14">
        <v>46189</v>
      </c>
      <c r="E24" s="1" t="s">
        <v>64</v>
      </c>
      <c r="F24" s="12">
        <v>1200</v>
      </c>
      <c r="H24" s="45" t="s">
        <v>92</v>
      </c>
      <c r="I24" s="1" t="s">
        <v>108</v>
      </c>
    </row>
    <row r="25" spans="1:9" x14ac:dyDescent="0.25">
      <c r="A25" s="1">
        <v>24</v>
      </c>
      <c r="B25" s="14">
        <v>46189</v>
      </c>
      <c r="E25" s="1" t="s">
        <v>65</v>
      </c>
      <c r="G25" s="12">
        <v>391257</v>
      </c>
      <c r="H25" s="36" t="s">
        <v>66</v>
      </c>
      <c r="I25" s="1" t="s">
        <v>108</v>
      </c>
    </row>
    <row r="26" spans="1:9" x14ac:dyDescent="0.25">
      <c r="A26" s="1">
        <v>25</v>
      </c>
      <c r="B26" s="14">
        <v>46190</v>
      </c>
      <c r="E26" s="1" t="s">
        <v>67</v>
      </c>
      <c r="F26" s="12">
        <v>12253</v>
      </c>
      <c r="H26" s="1" t="s">
        <v>102</v>
      </c>
      <c r="I26" s="1" t="s">
        <v>108</v>
      </c>
    </row>
    <row r="27" spans="1:9" x14ac:dyDescent="0.25">
      <c r="A27" s="1">
        <v>26</v>
      </c>
      <c r="B27" s="14">
        <v>46190</v>
      </c>
      <c r="E27" s="1" t="s">
        <v>68</v>
      </c>
      <c r="G27" s="12">
        <v>12930</v>
      </c>
      <c r="H27" s="1" t="s">
        <v>103</v>
      </c>
      <c r="I27" s="1" t="s">
        <v>108</v>
      </c>
    </row>
    <row r="28" spans="1:9" x14ac:dyDescent="0.25">
      <c r="A28" s="1">
        <v>27</v>
      </c>
      <c r="B28" s="14">
        <v>46191</v>
      </c>
      <c r="E28" s="1" t="s">
        <v>69</v>
      </c>
      <c r="G28" s="12">
        <v>387817</v>
      </c>
      <c r="H28" s="1" t="s">
        <v>98</v>
      </c>
      <c r="I28" s="1" t="s">
        <v>108</v>
      </c>
    </row>
    <row r="29" spans="1:9" x14ac:dyDescent="0.25">
      <c r="A29" s="1">
        <v>28</v>
      </c>
      <c r="B29" s="14">
        <v>46191</v>
      </c>
      <c r="E29" s="1" t="s">
        <v>70</v>
      </c>
      <c r="F29" s="12">
        <v>346155</v>
      </c>
      <c r="H29" s="1" t="s">
        <v>104</v>
      </c>
      <c r="I29" s="1" t="s">
        <v>108</v>
      </c>
    </row>
    <row r="30" spans="1:9" x14ac:dyDescent="0.25">
      <c r="A30" s="1">
        <v>29</v>
      </c>
      <c r="B30" s="14">
        <v>46193</v>
      </c>
      <c r="E30" s="1" t="s">
        <v>71</v>
      </c>
      <c r="F30" s="12">
        <v>100</v>
      </c>
      <c r="H30" s="1" t="s">
        <v>50</v>
      </c>
      <c r="I30" s="1" t="s">
        <v>108</v>
      </c>
    </row>
    <row r="31" spans="1:9" x14ac:dyDescent="0.25">
      <c r="A31" s="1">
        <v>30</v>
      </c>
      <c r="B31" s="14">
        <v>46193</v>
      </c>
      <c r="E31" s="1" t="s">
        <v>72</v>
      </c>
      <c r="F31" s="12">
        <v>2700</v>
      </c>
      <c r="H31" s="1" t="s">
        <v>93</v>
      </c>
      <c r="I31" s="1" t="s">
        <v>108</v>
      </c>
    </row>
    <row r="32" spans="1:9" x14ac:dyDescent="0.25">
      <c r="A32" s="1">
        <v>31</v>
      </c>
      <c r="B32" s="14">
        <v>46195</v>
      </c>
      <c r="E32" s="1" t="s">
        <v>73</v>
      </c>
      <c r="G32" s="12">
        <v>357290</v>
      </c>
      <c r="H32" s="1" t="s">
        <v>44</v>
      </c>
      <c r="I32" s="1" t="s">
        <v>108</v>
      </c>
    </row>
    <row r="33" spans="1:9" x14ac:dyDescent="0.25">
      <c r="A33" s="1">
        <v>32</v>
      </c>
      <c r="B33" s="14">
        <v>46196</v>
      </c>
      <c r="E33" s="1" t="s">
        <v>74</v>
      </c>
      <c r="F33" s="12">
        <v>5000</v>
      </c>
      <c r="H33" s="1" t="s">
        <v>100</v>
      </c>
      <c r="I33" s="1" t="s">
        <v>108</v>
      </c>
    </row>
    <row r="34" spans="1:9" x14ac:dyDescent="0.25">
      <c r="A34" s="1">
        <v>33</v>
      </c>
      <c r="B34" s="14">
        <v>46196</v>
      </c>
      <c r="E34" s="1" t="s">
        <v>75</v>
      </c>
      <c r="F34" s="12">
        <v>10000</v>
      </c>
      <c r="H34" s="1" t="s">
        <v>100</v>
      </c>
      <c r="I34" s="1" t="s">
        <v>108</v>
      </c>
    </row>
    <row r="35" spans="1:9" x14ac:dyDescent="0.25">
      <c r="A35" s="1">
        <v>34</v>
      </c>
      <c r="B35" s="14">
        <v>46196</v>
      </c>
      <c r="E35" s="1" t="s">
        <v>76</v>
      </c>
      <c r="F35" s="12">
        <v>10000</v>
      </c>
      <c r="H35" s="1" t="s">
        <v>100</v>
      </c>
      <c r="I35" s="1" t="s">
        <v>108</v>
      </c>
    </row>
    <row r="36" spans="1:9" x14ac:dyDescent="0.25">
      <c r="A36" s="1">
        <v>35</v>
      </c>
      <c r="B36" s="14">
        <v>46197</v>
      </c>
      <c r="E36" s="1" t="s">
        <v>77</v>
      </c>
      <c r="F36" s="12">
        <v>10000</v>
      </c>
      <c r="H36" s="1" t="s">
        <v>100</v>
      </c>
      <c r="I36" s="1" t="s">
        <v>108</v>
      </c>
    </row>
    <row r="37" spans="1:9" x14ac:dyDescent="0.25">
      <c r="A37" s="1">
        <v>36</v>
      </c>
      <c r="B37" s="14">
        <v>46198</v>
      </c>
      <c r="E37" s="1" t="s">
        <v>78</v>
      </c>
      <c r="F37" s="12">
        <v>500000</v>
      </c>
      <c r="H37" s="1" t="s">
        <v>100</v>
      </c>
      <c r="I37" s="1" t="s">
        <v>108</v>
      </c>
    </row>
    <row r="38" spans="1:9" x14ac:dyDescent="0.25">
      <c r="A38" s="1">
        <v>37</v>
      </c>
      <c r="B38" s="14">
        <v>46198</v>
      </c>
      <c r="E38" s="1" t="s">
        <v>79</v>
      </c>
      <c r="F38" s="12">
        <v>1000</v>
      </c>
      <c r="H38" s="1" t="s">
        <v>100</v>
      </c>
      <c r="I38" s="1" t="s">
        <v>108</v>
      </c>
    </row>
    <row r="39" spans="1:9" x14ac:dyDescent="0.25">
      <c r="A39" s="1">
        <v>38</v>
      </c>
      <c r="B39" s="14">
        <v>46199</v>
      </c>
      <c r="E39" s="1" t="s">
        <v>80</v>
      </c>
      <c r="F39" s="12">
        <v>200</v>
      </c>
      <c r="H39" s="1" t="s">
        <v>94</v>
      </c>
      <c r="I39" s="1" t="s">
        <v>108</v>
      </c>
    </row>
    <row r="40" spans="1:9" x14ac:dyDescent="0.25">
      <c r="A40" s="1">
        <v>39</v>
      </c>
      <c r="B40" s="14">
        <v>46199</v>
      </c>
      <c r="E40" s="1" t="s">
        <v>81</v>
      </c>
      <c r="G40" s="12">
        <v>600000</v>
      </c>
      <c r="H40" s="1" t="s">
        <v>32</v>
      </c>
      <c r="I40" s="1" t="s">
        <v>108</v>
      </c>
    </row>
    <row r="41" spans="1:9" x14ac:dyDescent="0.25">
      <c r="A41" s="1">
        <v>40</v>
      </c>
      <c r="B41" s="14">
        <v>46199</v>
      </c>
      <c r="E41" s="1" t="s">
        <v>82</v>
      </c>
      <c r="F41" s="12">
        <v>1100000</v>
      </c>
      <c r="H41" s="45" t="s">
        <v>92</v>
      </c>
      <c r="I41" s="1" t="s">
        <v>108</v>
      </c>
    </row>
    <row r="42" spans="1:9" x14ac:dyDescent="0.25">
      <c r="A42" s="1">
        <v>41</v>
      </c>
      <c r="B42" s="14">
        <v>46199</v>
      </c>
      <c r="E42" s="1" t="s">
        <v>83</v>
      </c>
      <c r="G42" s="12">
        <v>336118</v>
      </c>
      <c r="H42" s="1" t="s">
        <v>62</v>
      </c>
      <c r="I42" s="1" t="s">
        <v>108</v>
      </c>
    </row>
    <row r="43" spans="1:9" x14ac:dyDescent="0.25">
      <c r="A43" s="1">
        <v>42</v>
      </c>
      <c r="B43" s="14">
        <v>46200</v>
      </c>
      <c r="E43" s="1" t="s">
        <v>84</v>
      </c>
      <c r="F43" s="12">
        <v>60401</v>
      </c>
      <c r="H43" s="1" t="s">
        <v>105</v>
      </c>
      <c r="I43" s="1" t="s">
        <v>108</v>
      </c>
    </row>
    <row r="44" spans="1:9" x14ac:dyDescent="0.25">
      <c r="A44" s="1">
        <v>43</v>
      </c>
      <c r="B44" s="14">
        <v>46200</v>
      </c>
      <c r="E44" s="1" t="s">
        <v>85</v>
      </c>
      <c r="F44" s="12">
        <v>1500</v>
      </c>
      <c r="H44" s="1" t="s">
        <v>100</v>
      </c>
      <c r="I44" s="1" t="s">
        <v>108</v>
      </c>
    </row>
    <row r="45" spans="1:9" x14ac:dyDescent="0.25">
      <c r="A45" s="1">
        <v>44</v>
      </c>
      <c r="B45" s="14">
        <v>46201</v>
      </c>
      <c r="E45" s="1" t="s">
        <v>86</v>
      </c>
      <c r="F45" s="12">
        <v>305103</v>
      </c>
      <c r="H45" s="1" t="s">
        <v>104</v>
      </c>
      <c r="I45" s="1" t="s">
        <v>108</v>
      </c>
    </row>
    <row r="46" spans="1:9" x14ac:dyDescent="0.25">
      <c r="A46" s="1">
        <v>45</v>
      </c>
      <c r="B46" s="14">
        <v>46201</v>
      </c>
      <c r="E46" s="1" t="s">
        <v>87</v>
      </c>
      <c r="F46" s="12">
        <v>500</v>
      </c>
      <c r="H46" s="36" t="s">
        <v>101</v>
      </c>
      <c r="I46" s="1" t="s">
        <v>108</v>
      </c>
    </row>
    <row r="47" spans="1:9" x14ac:dyDescent="0.25">
      <c r="A47" s="1">
        <v>46</v>
      </c>
      <c r="B47" s="14">
        <v>46202</v>
      </c>
      <c r="E47" s="1" t="s">
        <v>88</v>
      </c>
      <c r="F47" s="12">
        <v>1094.42</v>
      </c>
      <c r="H47" s="1" t="s">
        <v>106</v>
      </c>
      <c r="I47" s="1" t="s">
        <v>108</v>
      </c>
    </row>
    <row r="48" spans="1:9" x14ac:dyDescent="0.25">
      <c r="A48" s="1">
        <v>47</v>
      </c>
      <c r="B48" s="14">
        <v>46202</v>
      </c>
      <c r="E48" s="1" t="s">
        <v>89</v>
      </c>
      <c r="F48" s="12">
        <v>78245</v>
      </c>
      <c r="H48" s="1" t="s">
        <v>90</v>
      </c>
      <c r="I48" s="1" t="s">
        <v>108</v>
      </c>
    </row>
    <row r="49" spans="1:9" x14ac:dyDescent="0.25">
      <c r="A49" s="1">
        <v>48</v>
      </c>
      <c r="B49" s="14">
        <v>46203</v>
      </c>
      <c r="E49" s="1" t="s">
        <v>91</v>
      </c>
      <c r="F49" s="12">
        <v>3630</v>
      </c>
      <c r="H49" s="1" t="s">
        <v>107</v>
      </c>
      <c r="I49" s="1" t="s">
        <v>108</v>
      </c>
    </row>
    <row r="54" spans="1:9" x14ac:dyDescent="0.25">
      <c r="H54" s="36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2404-176B-405C-8F07-801D1BF688A6}">
  <dimension ref="A1:A9"/>
  <sheetViews>
    <sheetView workbookViewId="0">
      <selection activeCell="K30" sqref="K30"/>
    </sheetView>
  </sheetViews>
  <sheetFormatPr defaultRowHeight="15" x14ac:dyDescent="0.25"/>
  <cols>
    <col min="1" max="1" width="86.85546875" bestFit="1" customWidth="1"/>
  </cols>
  <sheetData>
    <row r="1" spans="1:1" ht="18" x14ac:dyDescent="0.25">
      <c r="A1" s="37" t="s">
        <v>33</v>
      </c>
    </row>
    <row r="2" spans="1:1" x14ac:dyDescent="0.25">
      <c r="A2" s="38"/>
    </row>
    <row r="3" spans="1:1" x14ac:dyDescent="0.25">
      <c r="A3" s="39" t="s">
        <v>34</v>
      </c>
    </row>
    <row r="4" spans="1:1" x14ac:dyDescent="0.25">
      <c r="A4" s="38"/>
    </row>
    <row r="5" spans="1:1" x14ac:dyDescent="0.25">
      <c r="A5" s="39" t="s">
        <v>35</v>
      </c>
    </row>
    <row r="6" spans="1:1" x14ac:dyDescent="0.25">
      <c r="A6" s="38"/>
    </row>
    <row r="7" spans="1:1" x14ac:dyDescent="0.25">
      <c r="A7" s="39" t="s">
        <v>36</v>
      </c>
    </row>
    <row r="8" spans="1:1" x14ac:dyDescent="0.25">
      <c r="A8" s="38"/>
    </row>
    <row r="9" spans="1:1" x14ac:dyDescent="0.25">
      <c r="A9" s="3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2024-09-12T12:50:00Z</dcterms:created>
  <dcterms:modified xsi:type="dcterms:W3CDTF">2026-07-02T13:33:17Z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6B0662DAE6F548DF8F96521D6EF25C4E_12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r8>0</vt:r8>
  </property>
</Properties>
</file>